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d8cf4fa27c427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9E7E959B-38EA-4BCB-9BA0-40F56F6C297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EFERENCIAS" sheetId="3" r:id="rId1"/>
    <sheet name="CODIGOS" sheetId="4" r:id="rId2"/>
    <sheet name="ReporteGeneral" sheetId="1" r:id="rId3"/>
    <sheet name="ReporteEspecifico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1" l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3" i="1"/>
  <c r="R3" i="1" s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L4" i="1"/>
  <c r="L5" i="1"/>
  <c r="L6" i="1"/>
  <c r="L7" i="1"/>
  <c r="L8" i="1"/>
  <c r="L9" i="1"/>
  <c r="N9" i="1" s="1"/>
  <c r="L10" i="1"/>
  <c r="N10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L18" i="1"/>
  <c r="L19" i="1"/>
  <c r="L20" i="1"/>
  <c r="L21" i="1"/>
  <c r="L22" i="1"/>
  <c r="L23" i="1"/>
  <c r="L24" i="1"/>
  <c r="L25" i="1"/>
  <c r="N25" i="1" s="1"/>
  <c r="L26" i="1"/>
  <c r="N26" i="1" s="1"/>
  <c r="L27" i="1"/>
  <c r="N27" i="1" s="1"/>
  <c r="L28" i="1"/>
  <c r="N28" i="1" s="1"/>
  <c r="L29" i="1"/>
  <c r="N29" i="1" s="1"/>
  <c r="L30" i="1"/>
  <c r="N30" i="1" s="1"/>
  <c r="L31" i="1"/>
  <c r="N31" i="1" s="1"/>
  <c r="L32" i="1"/>
  <c r="N32" i="1" s="1"/>
  <c r="L33" i="1"/>
  <c r="L34" i="1"/>
  <c r="L35" i="1"/>
  <c r="L36" i="1"/>
  <c r="L37" i="1"/>
  <c r="L38" i="1"/>
  <c r="L39" i="1"/>
  <c r="L40" i="1"/>
  <c r="L41" i="1"/>
  <c r="N41" i="1" s="1"/>
  <c r="L42" i="1"/>
  <c r="N42" i="1" s="1"/>
  <c r="L43" i="1"/>
  <c r="N43" i="1" s="1"/>
  <c r="L44" i="1"/>
  <c r="N44" i="1" s="1"/>
  <c r="L45" i="1"/>
  <c r="N45" i="1" s="1"/>
  <c r="L46" i="1"/>
  <c r="N46" i="1" s="1"/>
  <c r="L47" i="1"/>
  <c r="N47" i="1" s="1"/>
  <c r="L48" i="1"/>
  <c r="N48" i="1" s="1"/>
  <c r="L49" i="1"/>
  <c r="L50" i="1"/>
  <c r="L51" i="1"/>
  <c r="L52" i="1"/>
  <c r="L53" i="1"/>
  <c r="L54" i="1"/>
  <c r="L55" i="1"/>
  <c r="L56" i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L66" i="1"/>
  <c r="L67" i="1"/>
  <c r="L68" i="1"/>
  <c r="L69" i="1"/>
  <c r="L70" i="1"/>
  <c r="L71" i="1"/>
  <c r="L72" i="1"/>
  <c r="L73" i="1"/>
  <c r="N73" i="1" s="1"/>
  <c r="L74" i="1"/>
  <c r="N74" i="1" s="1"/>
  <c r="L75" i="1"/>
  <c r="N75" i="1" s="1"/>
  <c r="L76" i="1"/>
  <c r="N76" i="1" s="1"/>
  <c r="L77" i="1"/>
  <c r="N77" i="1" s="1"/>
  <c r="L78" i="1"/>
  <c r="N78" i="1" s="1"/>
  <c r="L79" i="1"/>
  <c r="N79" i="1" s="1"/>
  <c r="L80" i="1"/>
  <c r="N80" i="1" s="1"/>
  <c r="L81" i="1"/>
  <c r="L82" i="1"/>
  <c r="L83" i="1"/>
  <c r="L84" i="1"/>
  <c r="L85" i="1"/>
  <c r="L86" i="1"/>
  <c r="L87" i="1"/>
  <c r="L88" i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L98" i="1"/>
  <c r="L99" i="1"/>
  <c r="L100" i="1"/>
  <c r="L101" i="1"/>
  <c r="L102" i="1"/>
  <c r="L103" i="1"/>
  <c r="L104" i="1"/>
  <c r="L105" i="1"/>
  <c r="N105" i="1" s="1"/>
  <c r="L106" i="1"/>
  <c r="N106" i="1" s="1"/>
  <c r="L3" i="1"/>
  <c r="N4" i="1"/>
  <c r="N5" i="1"/>
  <c r="N6" i="1"/>
  <c r="N7" i="1"/>
  <c r="N8" i="1"/>
  <c r="N17" i="1"/>
  <c r="N18" i="1"/>
  <c r="N19" i="1"/>
  <c r="N20" i="1"/>
  <c r="N21" i="1"/>
  <c r="N22" i="1"/>
  <c r="N23" i="1"/>
  <c r="N24" i="1"/>
  <c r="N33" i="1"/>
  <c r="N34" i="1"/>
  <c r="N35" i="1"/>
  <c r="N36" i="1"/>
  <c r="N37" i="1"/>
  <c r="N38" i="1"/>
  <c r="N39" i="1"/>
  <c r="N40" i="1"/>
  <c r="N49" i="1"/>
  <c r="N50" i="1"/>
  <c r="N51" i="1"/>
  <c r="N52" i="1"/>
  <c r="N53" i="1"/>
  <c r="N54" i="1"/>
  <c r="N55" i="1"/>
  <c r="N56" i="1"/>
  <c r="N65" i="1"/>
  <c r="N66" i="1"/>
  <c r="N67" i="1"/>
  <c r="N68" i="1"/>
  <c r="N69" i="1"/>
  <c r="N70" i="1"/>
  <c r="N71" i="1"/>
  <c r="N72" i="1"/>
  <c r="N81" i="1"/>
  <c r="N82" i="1"/>
  <c r="N83" i="1"/>
  <c r="N84" i="1"/>
  <c r="N85" i="1"/>
  <c r="N86" i="1"/>
  <c r="N87" i="1"/>
  <c r="N88" i="1"/>
  <c r="N97" i="1"/>
  <c r="N98" i="1"/>
  <c r="N99" i="1"/>
  <c r="N100" i="1"/>
  <c r="N101" i="1"/>
  <c r="N102" i="1"/>
  <c r="N103" i="1"/>
  <c r="N104" i="1"/>
  <c r="N3" i="1"/>
</calcChain>
</file>

<file path=xl/sharedStrings.xml><?xml version="1.0" encoding="utf-8"?>
<sst xmlns="http://schemas.openxmlformats.org/spreadsheetml/2006/main" count="4910" uniqueCount="1073">
  <si>
    <t>REFERENCIA</t>
  </si>
  <si>
    <t>CODIGO</t>
  </si>
  <si>
    <t>DESCRIPCION</t>
  </si>
  <si>
    <t>TIPO1</t>
  </si>
  <si>
    <t>TIPO2</t>
  </si>
  <si>
    <t>TIPO3</t>
  </si>
  <si>
    <t>TIPO4</t>
  </si>
  <si>
    <t>COLOR</t>
  </si>
  <si>
    <t>TALLA</t>
  </si>
  <si>
    <t>TIPO</t>
  </si>
  <si>
    <t>CATEGORIA</t>
  </si>
  <si>
    <t>YEAR</t>
  </si>
  <si>
    <t>Reporte General</t>
  </si>
  <si>
    <t>Reporte Especifico</t>
  </si>
  <si>
    <t>-</t>
  </si>
  <si>
    <t>NEGRO</t>
  </si>
  <si>
    <t>MENTA</t>
  </si>
  <si>
    <t>CORTA</t>
  </si>
  <si>
    <t>AZUL MARINO</t>
  </si>
  <si>
    <t>AZUL PIEDRA</t>
  </si>
  <si>
    <t>VESTIDO</t>
  </si>
  <si>
    <t>M/C</t>
  </si>
  <si>
    <t>FUCSIA</t>
  </si>
  <si>
    <t>ROSADO</t>
  </si>
  <si>
    <t>MELON</t>
  </si>
  <si>
    <t>BEIGE</t>
  </si>
  <si>
    <t>AZUL</t>
  </si>
  <si>
    <t>CORAL</t>
  </si>
  <si>
    <t>CAMISETA</t>
  </si>
  <si>
    <t>KIMONO</t>
  </si>
  <si>
    <t>PALO ROSA</t>
  </si>
  <si>
    <t>GRIS OSCURO</t>
  </si>
  <si>
    <t>GRIS JASPEADO</t>
  </si>
  <si>
    <t>LLANO</t>
  </si>
  <si>
    <t>AMARILLO</t>
  </si>
  <si>
    <t>GRIS CLARO</t>
  </si>
  <si>
    <t>CELESTE</t>
  </si>
  <si>
    <t>LEGGINS</t>
  </si>
  <si>
    <t>INGRESO</t>
  </si>
  <si>
    <t>SALDO</t>
  </si>
  <si>
    <t>VENTA</t>
  </si>
  <si>
    <t>ROTACION</t>
  </si>
  <si>
    <t>CT-ALBA-0105-22 CAMISETA</t>
  </si>
  <si>
    <t>CT-CM006-0101-22 CAMISETA</t>
  </si>
  <si>
    <t>CT-CM006-0102-22 CAMISETA</t>
  </si>
  <si>
    <t>CT-CM006-0103-22 CAMISETA</t>
  </si>
  <si>
    <t>CT-EMA-0101-22 CAMISETA</t>
  </si>
  <si>
    <t>CT-EMA-0102-22 CAMISETA</t>
  </si>
  <si>
    <t>CT-GABY-0101-22 CAMISETA</t>
  </si>
  <si>
    <t>CT-GABY-0102-22 CAMISETA</t>
  </si>
  <si>
    <t>CT-GABY-0103-22 CAMISETA</t>
  </si>
  <si>
    <t>CT-GABY-0104-22 CAMISETA</t>
  </si>
  <si>
    <t>CT-GABY-0105-22 CAMISETA</t>
  </si>
  <si>
    <t>CT-GABY-0106-22 CAMISETA</t>
  </si>
  <si>
    <t>CT-GABY-0107-22 CAMISETA</t>
  </si>
  <si>
    <t>CT-GABY-0108-22 CAMISETA</t>
  </si>
  <si>
    <t>CT-GABY-0109-22 CAMISETA</t>
  </si>
  <si>
    <t>E-BESMA-01-22 CAMISETA</t>
  </si>
  <si>
    <t>E-BL190-0101-22 CAMISETA</t>
  </si>
  <si>
    <t>E-BL190-0102-22 CAMISETA</t>
  </si>
  <si>
    <t>E-BL190-0103-22 CAMISETA</t>
  </si>
  <si>
    <t>E-BL190-0104-22 CAMISETA</t>
  </si>
  <si>
    <t>E-BL190-0105-22 CAMISETA</t>
  </si>
  <si>
    <t>E-BL190-0107-22 CAMISETA</t>
  </si>
  <si>
    <t>E-BL190-0108-22 CAMISETA</t>
  </si>
  <si>
    <t>E-PL101-LL-01-22</t>
  </si>
  <si>
    <t>I-BL190-0101-22 CAMISETA</t>
  </si>
  <si>
    <t>I-BL190-0102-22 CAMISETA</t>
  </si>
  <si>
    <t>I-BL190-0103-22 CAMISETA</t>
  </si>
  <si>
    <t>I-BL190-0104-22 CAMISETA</t>
  </si>
  <si>
    <t>I-BL190-0105-22 CAMISETA</t>
  </si>
  <si>
    <t>I-BL190-0106-22 CAMISETA</t>
  </si>
  <si>
    <t>I-BL190-0107-22 CAMISETA</t>
  </si>
  <si>
    <t>I-BL190-0108-22 CAMISETA</t>
  </si>
  <si>
    <t>I-BL190-0109-22 CAMISETA</t>
  </si>
  <si>
    <t>I-BL190-0110-22 CAMISETA</t>
  </si>
  <si>
    <t>I-BL190-0111-22 CAMISETA</t>
  </si>
  <si>
    <t>I-BL190-0112-22 CAMISETA</t>
  </si>
  <si>
    <t>I-BL190-0113-22 CAMISETA</t>
  </si>
  <si>
    <t>I-BL190-0114-22 CAMISETA</t>
  </si>
  <si>
    <t>I-BL190-0115-22 CAMISETA</t>
  </si>
  <si>
    <t>I-BL190-0116-22 CAMISETA</t>
  </si>
  <si>
    <t>I-BL190-0117-22 CAMISETA</t>
  </si>
  <si>
    <t>I-BLEONORI-0101-22 VESTIDO</t>
  </si>
  <si>
    <t>I-BLEONORI-0102-22 VESTIDO</t>
  </si>
  <si>
    <t>I-BLEONORI-0103-22 VESTIDO</t>
  </si>
  <si>
    <t>I-BLEONORI-0104-22 VESTIDO</t>
  </si>
  <si>
    <t>I-BLEONORI-0105-22 VESTIDO</t>
  </si>
  <si>
    <t>I-BLEONORI-0106-22 VESTIDO</t>
  </si>
  <si>
    <t>I-BLEONORI-0107-22 VESTIDO</t>
  </si>
  <si>
    <t>URB-LILA-0207-22 CAMISETA</t>
  </si>
  <si>
    <t>URB-LILA-0208-22 CAMISETA</t>
  </si>
  <si>
    <t>3190050002</t>
  </si>
  <si>
    <t>E-BL190-0101-22 CAMISETA M/C PALO ROSA T.12</t>
  </si>
  <si>
    <t>E-BL190-0101-22</t>
  </si>
  <si>
    <t>3190050003</t>
  </si>
  <si>
    <t>E-BL190-0101-22 CAMISETA M/C PALO ROSA T.14</t>
  </si>
  <si>
    <t>3190050004</t>
  </si>
  <si>
    <t>E-BL190-0101-22 CAMISETA M/C PALO ROSA T.16</t>
  </si>
  <si>
    <t>3190050005</t>
  </si>
  <si>
    <t>E-BL190-0102-22 CAMISETA M/C AMARILLO T.10</t>
  </si>
  <si>
    <t>E-BL190-0102-22</t>
  </si>
  <si>
    <t>3190050006</t>
  </si>
  <si>
    <t>E-BL190-0102-22 CAMISETA M/C AMARILLO T.12</t>
  </si>
  <si>
    <t>3190050009</t>
  </si>
  <si>
    <t>E-BL190-0103-22 CAMISETA M/C MELON T.10</t>
  </si>
  <si>
    <t>E-BL190-0103-22</t>
  </si>
  <si>
    <t>3190050011</t>
  </si>
  <si>
    <t>E-BL190-0103-22 CAMISETA M/C MELON T.14</t>
  </si>
  <si>
    <t>3190050013</t>
  </si>
  <si>
    <t>E-BL190-0104-22 CAMISETA M/C BEIGE T.10</t>
  </si>
  <si>
    <t>E-BL190-0104-22</t>
  </si>
  <si>
    <t>3190050014</t>
  </si>
  <si>
    <t>E-BL190-0104-22 CAMISETA M/C BEIGE T.12</t>
  </si>
  <si>
    <t>3190050015</t>
  </si>
  <si>
    <t>E-BL190-0104-22 CAMISETA M/C BEIGE T.14</t>
  </si>
  <si>
    <t>3190050017</t>
  </si>
  <si>
    <t>E-BL190-0105-22 CAMISETA M/C GRIS JASPEADO T.10</t>
  </si>
  <si>
    <t>E-BL190-0105-22</t>
  </si>
  <si>
    <t>3190050018</t>
  </si>
  <si>
    <t>E-BL190-0105-22 CAMISETA M/C GRIS JASPEADO T.12</t>
  </si>
  <si>
    <t>3190050019</t>
  </si>
  <si>
    <t>E-BL190-0105-22 CAMISETA M/C GRIS JASPEADO T.14</t>
  </si>
  <si>
    <t>3190050020</t>
  </si>
  <si>
    <t>E-BL190-0105-22 CAMISETA M/C GRIS JASPEADO T.16</t>
  </si>
  <si>
    <t>3190050026</t>
  </si>
  <si>
    <t>E-BL190-0107-22 CAMISETA M/C MENTA T.12</t>
  </si>
  <si>
    <t>E-BL190-0107-22</t>
  </si>
  <si>
    <t>3190050027</t>
  </si>
  <si>
    <t>E-BL190-0107-22 CAMISETA M/C MENTA T.14</t>
  </si>
  <si>
    <t>3190050028</t>
  </si>
  <si>
    <t>E-BL190-0107-22 CAMISETA M/C MENTA T.16</t>
  </si>
  <si>
    <t>3190050029</t>
  </si>
  <si>
    <t>E-BL190-0108-22 CAMISETA M/C PALO ROSA T.10</t>
  </si>
  <si>
    <t>E-BL190-0108-22</t>
  </si>
  <si>
    <t>3190050030</t>
  </si>
  <si>
    <t>E-BL190-0108-22 CAMISETA M/C PALO ROSA T.12</t>
  </si>
  <si>
    <t>3190050031</t>
  </si>
  <si>
    <t>E-BL190-0108-22 CAMISETA M/C PALO ROSA T.14</t>
  </si>
  <si>
    <t>3190050032</t>
  </si>
  <si>
    <t>E-BL190-0108-22 CAMISETA M/C PALO ROSA T.16</t>
  </si>
  <si>
    <t>3190050035</t>
  </si>
  <si>
    <t>E-BESMA-01-22 CAMISETA M/C FUCSIA T.14</t>
  </si>
  <si>
    <t>E-BESMA-01-22</t>
  </si>
  <si>
    <t>3190050036</t>
  </si>
  <si>
    <t>E-BESMA-01-22 CAMISETA M/C FUCSIA T.16</t>
  </si>
  <si>
    <t>3190050037</t>
  </si>
  <si>
    <t>E-BESMA-01-22 CAMISETA M/C GRIS JASPEADO T.10</t>
  </si>
  <si>
    <t>3190050039</t>
  </si>
  <si>
    <t>E-BESMA-01-22 CAMISETA M/C GRIS JASPEADO T.14</t>
  </si>
  <si>
    <t>3190050042</t>
  </si>
  <si>
    <t>E-BESMA-01-22 CAMISETA M/C NEGRO T.12</t>
  </si>
  <si>
    <t>3190050043</t>
  </si>
  <si>
    <t>E-BESMA-01-22 CAMISETA M/C NEGRO T.14</t>
  </si>
  <si>
    <t>3190050045</t>
  </si>
  <si>
    <t>E-BESMA-01-22 CAMISETA M/C ROSADO T.10</t>
  </si>
  <si>
    <t>3190050046</t>
  </si>
  <si>
    <t>E-BESMA-01-22 CAMISETA M/C ROSADO T.12</t>
  </si>
  <si>
    <t>3190050047</t>
  </si>
  <si>
    <t>E-BESMA-01-22 CAMISETA M/C ROSADO T.14</t>
  </si>
  <si>
    <t>3190050048</t>
  </si>
  <si>
    <t>E-BESMA-01-22 CAMISETA M/C ROSADO T.16</t>
  </si>
  <si>
    <t>3190050049</t>
  </si>
  <si>
    <t>I-BL190-0101-22 CAMISETA M/C BEIGE T.2</t>
  </si>
  <si>
    <t>I-BL190-0101-22</t>
  </si>
  <si>
    <t>3190050050</t>
  </si>
  <si>
    <t>I-BL190-0101-22 CAMISETA M/C BEIGE T.4</t>
  </si>
  <si>
    <t>3190050051</t>
  </si>
  <si>
    <t>I-BL190-0101-22 CAMISETA M/C BEIGE T.6</t>
  </si>
  <si>
    <t>3190050052</t>
  </si>
  <si>
    <t>I-BL190-0101-22 CAMISETA M/C BEIGE T.8</t>
  </si>
  <si>
    <t>3190050053</t>
  </si>
  <si>
    <t>I-BL190-0103-22 CAMISETA M/C BEIGE T.2</t>
  </si>
  <si>
    <t>I-BL190-0103-22</t>
  </si>
  <si>
    <t>3190050054</t>
  </si>
  <si>
    <t>I-BL190-0103-22 CAMISETA M/C BEIGE T.4</t>
  </si>
  <si>
    <t>3190050055</t>
  </si>
  <si>
    <t>I-BL190-0103-22 CAMISETA M/C BEIGE T.6</t>
  </si>
  <si>
    <t>3190050056</t>
  </si>
  <si>
    <t>I-BL190-0103-22 CAMISETA M/C BEIGE T.8</t>
  </si>
  <si>
    <t>3190050057</t>
  </si>
  <si>
    <t>I-BL190-0104-22 CAMISETA M/C ROSADO CLARO T.2</t>
  </si>
  <si>
    <t>I-BL190-0104-22</t>
  </si>
  <si>
    <t>ROSADO CLARO</t>
  </si>
  <si>
    <t>3190050058</t>
  </si>
  <si>
    <t>I-BL190-0104-22 CAMISETA M/C ROSADO CLARO T.4</t>
  </si>
  <si>
    <t>3190050059</t>
  </si>
  <si>
    <t>I-BL190-0104-22 CAMISETA M/C ROSADO CLARO T.6</t>
  </si>
  <si>
    <t>3190050060</t>
  </si>
  <si>
    <t>I-BL190-0104-22 CAMISETA M/C ROSADO CLARO T.8</t>
  </si>
  <si>
    <t>3190050061</t>
  </si>
  <si>
    <t>I-BL190-0105-22 CAMISETA M/C PALO ROSA T.2</t>
  </si>
  <si>
    <t>I-BL190-0105-22</t>
  </si>
  <si>
    <t>3190050063</t>
  </si>
  <si>
    <t>I-BL190-0105-22 CAMISETA M/C PALO ROSA T.6</t>
  </si>
  <si>
    <t>3190050064</t>
  </si>
  <si>
    <t>I-BL190-0105-22 CAMISETA M/C PALO ROSA T.8</t>
  </si>
  <si>
    <t>3190050065</t>
  </si>
  <si>
    <t>I-BL190-0106-22 CAMISETA M/C MENTA T.2</t>
  </si>
  <si>
    <t>I-BL190-0106-22</t>
  </si>
  <si>
    <t>3190050069</t>
  </si>
  <si>
    <t>I-BL190-0107-22 CAMISETA M/C MENTA T.2</t>
  </si>
  <si>
    <t>I-BL190-0107-22</t>
  </si>
  <si>
    <t>3190050070</t>
  </si>
  <si>
    <t>I-BL190-0107-22 CAMISETA M/C MENTA T.4</t>
  </si>
  <si>
    <t>3190050072</t>
  </si>
  <si>
    <t>I-BL190-0107-22 CAMISETA M/C MENTA T.8</t>
  </si>
  <si>
    <t>3190050073</t>
  </si>
  <si>
    <t>I-BL190-0108-22 CAMISETA M/C GRIS JASPEADO T.2</t>
  </si>
  <si>
    <t>I-BL190-0108-22</t>
  </si>
  <si>
    <t>3190050074</t>
  </si>
  <si>
    <t>I-BL190-0108-22 CAMISETA M/C GRIS JASPEADO T.4</t>
  </si>
  <si>
    <t>3190050075</t>
  </si>
  <si>
    <t>I-BL190-0108-22 CAMISETA M/C GRIS JASPEADO T.6</t>
  </si>
  <si>
    <t>3190050076</t>
  </si>
  <si>
    <t>I-BL190-0108-22 CAMISETA M/C GRIS JASPEADO T.8</t>
  </si>
  <si>
    <t>3190050077</t>
  </si>
  <si>
    <t>I-BL190-0109-22 CAMISETA M/C GRIS JASPEADO T.2</t>
  </si>
  <si>
    <t>I-BL190-0109-22</t>
  </si>
  <si>
    <t>3190050078</t>
  </si>
  <si>
    <t>I-BL190-0109-22 CAMISETA M/C GRIS JASPEADO T.4</t>
  </si>
  <si>
    <t>3190050079</t>
  </si>
  <si>
    <t>I-BL190-0109-22 CAMISETA M/C GRIS JASPEADO T.6</t>
  </si>
  <si>
    <t>3190050080</t>
  </si>
  <si>
    <t>I-BL190-0109-22 CAMISETA M/C GRIS JASPEADO T.8</t>
  </si>
  <si>
    <t>3190050081</t>
  </si>
  <si>
    <t>I-BL190-0110-22 CAMISETA M/C AZUL MARINO T.2</t>
  </si>
  <si>
    <t>I-BL190-0110-22</t>
  </si>
  <si>
    <t>3190050082</t>
  </si>
  <si>
    <t>I-BL190-0110-22 CAMISETA M/C AZUL MARINO T.4</t>
  </si>
  <si>
    <t>3190050083</t>
  </si>
  <si>
    <t>I-BL190-0110-22 CAMISETA M/C AZUL MARINO T.6</t>
  </si>
  <si>
    <t>3190050084</t>
  </si>
  <si>
    <t>I-BL190-0110-22 CAMISETA M/C AZUL MARINO T.8</t>
  </si>
  <si>
    <t>3190050085</t>
  </si>
  <si>
    <t>I-BL190-0111-22 CAMISETA M/C FUCSIA T.2</t>
  </si>
  <si>
    <t>I-BL190-0111-22</t>
  </si>
  <si>
    <t>3190050086</t>
  </si>
  <si>
    <t>I-BL190-0111-22 CAMISETA M/C FUCSIA T.4</t>
  </si>
  <si>
    <t>3190050087</t>
  </si>
  <si>
    <t>I-BL190-0111-22 CAMISETA M/C FUCSIA T.6</t>
  </si>
  <si>
    <t>3190050088</t>
  </si>
  <si>
    <t>I-BL190-0111-22 CAMISETA M/C FUCSIA T.8</t>
  </si>
  <si>
    <t>3190050089</t>
  </si>
  <si>
    <t>I-BL190-0112-22 CAMISETA M/C FUCSIA T.2</t>
  </si>
  <si>
    <t>I-BL190-0112-22</t>
  </si>
  <si>
    <t>3190050090</t>
  </si>
  <si>
    <t>I-BL190-0112-22 CAMISETA M/C FUCSIA T.4</t>
  </si>
  <si>
    <t>3190050091</t>
  </si>
  <si>
    <t>I-BL190-0112-22 CAMISETA M/C FUCSIA T.6</t>
  </si>
  <si>
    <t>3190050092</t>
  </si>
  <si>
    <t>I-BL190-0112-22 CAMISETA M/C FUCSIA T.8</t>
  </si>
  <si>
    <t>3190050093</t>
  </si>
  <si>
    <t>I-BL190-0113-22 CAMISETA M/C AMARILLO T.2</t>
  </si>
  <si>
    <t>I-BL190-0113-22</t>
  </si>
  <si>
    <t>3190050098</t>
  </si>
  <si>
    <t>I-BL190-0114-22 CAMISETA M/C AMARILLO T.4</t>
  </si>
  <si>
    <t>I-BL190-0114-22</t>
  </si>
  <si>
    <t>3190050099</t>
  </si>
  <si>
    <t>I-BL190-0114-22 CAMISETA M/C AMARILLO T.6</t>
  </si>
  <si>
    <t>3190050100</t>
  </si>
  <si>
    <t>I-BL190-0114-22 CAMISETA M/C AMARILLO T.8</t>
  </si>
  <si>
    <t>3190050101</t>
  </si>
  <si>
    <t>I-BL190-0115-22 CAMISETA M/C ROSADO T.2</t>
  </si>
  <si>
    <t>I-BL190-0115-22</t>
  </si>
  <si>
    <t>3190050103</t>
  </si>
  <si>
    <t>I-BL190-0115-22 CAMISETA M/C ROSADO T.6</t>
  </si>
  <si>
    <t>3190050104</t>
  </si>
  <si>
    <t>I-BL190-0115-22 CAMISETA M/C ROSADO T.8</t>
  </si>
  <si>
    <t>3190050106</t>
  </si>
  <si>
    <t>I-BL190-0116-22 CAMISETA M/C MELON T.4</t>
  </si>
  <si>
    <t>I-BL190-0116-22</t>
  </si>
  <si>
    <t>3190050107</t>
  </si>
  <si>
    <t>I-BL190-0116-22 CAMISETA M/C MELON T.6</t>
  </si>
  <si>
    <t>3190050108</t>
  </si>
  <si>
    <t>I-BL190-0116-22 CAMISETA M/C MELON T.8</t>
  </si>
  <si>
    <t>3190050109</t>
  </si>
  <si>
    <t>I-BL190-0117-22 CAMISETA M/C ROSADO CLARO T.2</t>
  </si>
  <si>
    <t>I-BL190-0117-22</t>
  </si>
  <si>
    <t>3190050110</t>
  </si>
  <si>
    <t>I-BL190-0117-22 CAMISETA M/C ROSADO CLARO T.4</t>
  </si>
  <si>
    <t>3190050111</t>
  </si>
  <si>
    <t>I-BL190-0117-22 CAMISETA M/C ROSADO CLARO T.6</t>
  </si>
  <si>
    <t>3190050112</t>
  </si>
  <si>
    <t>I-BL190-0117-22 CAMISETA M/C ROSADO CLARO T.8</t>
  </si>
  <si>
    <t>3190050113</t>
  </si>
  <si>
    <t>I-BL190-0102-22 CAMISETA M/C BEIGE T.2</t>
  </si>
  <si>
    <t>I-BL190-0102-22</t>
  </si>
  <si>
    <t>3190050114</t>
  </si>
  <si>
    <t>I-BL190-0102-22 CAMISETA M/C BEIGE T.4</t>
  </si>
  <si>
    <t>3190050115</t>
  </si>
  <si>
    <t>I-BL190-0102-22 CAMISETA M/C BEIGE T.6</t>
  </si>
  <si>
    <t>3190050116</t>
  </si>
  <si>
    <t>I-BL190-0102-22 CAMISETA M/C BEIGE T.8</t>
  </si>
  <si>
    <t>3190050194</t>
  </si>
  <si>
    <t>CT-ALBA-0105-22 CAMISETA CORTA BEIGE T.16</t>
  </si>
  <si>
    <t>CT-ALBA-0105-22</t>
  </si>
  <si>
    <t>3190050197</t>
  </si>
  <si>
    <t>CT-GABY-0103-22 CAMISETA CORTA PALO ROSA OSCURO T.P</t>
  </si>
  <si>
    <t>CT-GABY-0103-22</t>
  </si>
  <si>
    <t>PALO ROSA OSCURO</t>
  </si>
  <si>
    <t>3190050198</t>
  </si>
  <si>
    <t>CT-GABY-0103-22 CAMISETA CORTA PALO ROSA OSCURO T.M</t>
  </si>
  <si>
    <t>3190050199</t>
  </si>
  <si>
    <t>CT-GABY-0103-22 CAMISETA CORTA PALO ROSA OSCURO T.G</t>
  </si>
  <si>
    <t>3190050200</t>
  </si>
  <si>
    <t>CT-GABY-0103-22 CAMISETA CORTA PALO ROSA OSCURO T.EG</t>
  </si>
  <si>
    <t>3190050201</t>
  </si>
  <si>
    <t>CT-GABY-0106-22 CAMISETA CORTA AMARILLO T.P</t>
  </si>
  <si>
    <t>CT-GABY-0106-22</t>
  </si>
  <si>
    <t>3190050202</t>
  </si>
  <si>
    <t>CT-GABY-0106-22 CAMISETA CORTA AMARILLO T.M</t>
  </si>
  <si>
    <t>3190050203</t>
  </si>
  <si>
    <t>CT-GABY-0106-22 CAMISETA CORTA AMARILLO T.G</t>
  </si>
  <si>
    <t>3190050204</t>
  </si>
  <si>
    <t>CT-GABY-0106-22 CAMISETA CORTA AMARILLO T.EG</t>
  </si>
  <si>
    <t>3190050206</t>
  </si>
  <si>
    <t>CT-GABY-0109-22 CAMISETA CORTA CELESTE T.M</t>
  </si>
  <si>
    <t>CT-GABY-0109-22</t>
  </si>
  <si>
    <t>3190050207</t>
  </si>
  <si>
    <t>CT-GABY-0109-22 CAMISETA CORTA CELESTE T.G</t>
  </si>
  <si>
    <t>3190050209</t>
  </si>
  <si>
    <t>CT-GABY-0101-22 CAMISETA CORTA MENTA T.P</t>
  </si>
  <si>
    <t>CT-GABY-0101-22</t>
  </si>
  <si>
    <t>3190050210</t>
  </si>
  <si>
    <t>CT-GABY-0101-22 CAMISETA CORTA MENTA T.M</t>
  </si>
  <si>
    <t>3190050211</t>
  </si>
  <si>
    <t>CT-GABY-0101-22 CAMISETA CORTA MENTA T.G</t>
  </si>
  <si>
    <t>3190050212</t>
  </si>
  <si>
    <t>CT-GABY-0101-22 CAMISETA CORTA MENTA T.EG</t>
  </si>
  <si>
    <t>3190050213</t>
  </si>
  <si>
    <t>CT-GABY-0102-22 CAMISETA CORTA PALO ROSA T.P</t>
  </si>
  <si>
    <t>CT-GABY-0102-22</t>
  </si>
  <si>
    <t>3190050214</t>
  </si>
  <si>
    <t>CT-GABY-0102-22 CAMISETA CORTA PALO ROSA T.M</t>
  </si>
  <si>
    <t>3190050215</t>
  </si>
  <si>
    <t>CT-GABY-0102-22 CAMISETA CORTA PALO ROSA T.G</t>
  </si>
  <si>
    <t>3190050216</t>
  </si>
  <si>
    <t>CT-GABY-0102-22 CAMISETA CORTA PALO ROSA T.EG</t>
  </si>
  <si>
    <t>3190050217</t>
  </si>
  <si>
    <t>CT-GABY-0107-22 CAMISETA CORTA NEGRO T.P</t>
  </si>
  <si>
    <t>CT-GABY-0107-22</t>
  </si>
  <si>
    <t>3190050218</t>
  </si>
  <si>
    <t>CT-GABY-0107-22 CAMISETA CORTA NEGRO T.M</t>
  </si>
  <si>
    <t>3190050219</t>
  </si>
  <si>
    <t>CT-GABY-0107-22 CAMISETA CORTA NEGRO T.G</t>
  </si>
  <si>
    <t>3190050220</t>
  </si>
  <si>
    <t>CT-GABY-0107-22 CAMISETA CORTA NEGRO T.EG</t>
  </si>
  <si>
    <t>3190050221</t>
  </si>
  <si>
    <t>CT-GABY-0104-22 CAMISETA CORTA BEIGE T.P</t>
  </si>
  <si>
    <t>CT-GABY-0104-22</t>
  </si>
  <si>
    <t>3190050222</t>
  </si>
  <si>
    <t>CT-GABY-0104-22 CAMISETA CORTA BEIGE T.M</t>
  </si>
  <si>
    <t>3190050223</t>
  </si>
  <si>
    <t>CT-GABY-0104-22 CAMISETA CORTA BEIGE T.G</t>
  </si>
  <si>
    <t>3190050224</t>
  </si>
  <si>
    <t>CT-GABY-0104-22 CAMISETA CORTA BEIGE T.EG</t>
  </si>
  <si>
    <t>3190050226</t>
  </si>
  <si>
    <t>CT-GABY-0108-22 CAMISETA CORTA NEGRO T.M</t>
  </si>
  <si>
    <t>CT-GABY-0108-22</t>
  </si>
  <si>
    <t>3190050228</t>
  </si>
  <si>
    <t>CT-GABY-0108-22 CAMISETA CORTA NEGRO T.EG</t>
  </si>
  <si>
    <t>3190050229</t>
  </si>
  <si>
    <t>CT-GABY-0105-22 CAMISETA CORTA BEIGE T.P</t>
  </si>
  <si>
    <t>CT-GABY-0105-22</t>
  </si>
  <si>
    <t>3190050230</t>
  </si>
  <si>
    <t>CT-GABY-0105-22 CAMISETA CORTA BEIGE T.M</t>
  </si>
  <si>
    <t>3190050231</t>
  </si>
  <si>
    <t>CT-GABY-0105-22 CAMISETA CORTA BEIGE T.G</t>
  </si>
  <si>
    <t>3190050232</t>
  </si>
  <si>
    <t>CT-GABY-0105-22 CAMISETA CORTA BEIGE T.EG</t>
  </si>
  <si>
    <t>3190050721</t>
  </si>
  <si>
    <t>CT-CM006-0103-22 CAMISETA KIMONO AZUL MARINO T.P</t>
  </si>
  <si>
    <t>CT-CM006-0103-22</t>
  </si>
  <si>
    <t>3190050722</t>
  </si>
  <si>
    <t>CT-CM006-0103-22 CAMISETA KIMONO AZUL MARINO T.M</t>
  </si>
  <si>
    <t>3190050724</t>
  </si>
  <si>
    <t>CT-CM006-0103-22 CAMISETA KIMONO AZUL MARINO T.EG</t>
  </si>
  <si>
    <t>3190050725</t>
  </si>
  <si>
    <t>CT-CM006-0102-22 CAMISETA KIMONO BEIGE T.P</t>
  </si>
  <si>
    <t>CT-CM006-0102-22</t>
  </si>
  <si>
    <t>3190050726</t>
  </si>
  <si>
    <t>CT-CM006-0102-22 CAMISETA KIMONO BEIGE T.M</t>
  </si>
  <si>
    <t>3190050727</t>
  </si>
  <si>
    <t>CT-CM006-0102-22 CAMISETA KIMONO BEIGE T.G</t>
  </si>
  <si>
    <t>3190050728</t>
  </si>
  <si>
    <t>CT-CM006-0102-22 CAMISETA KIMONO BEIGE T.EG</t>
  </si>
  <si>
    <t>3190050729</t>
  </si>
  <si>
    <t>CT-CM006-0101-22 CAMISETA KIMONO PALO ROSA T.P</t>
  </si>
  <si>
    <t>CT-CM006-0101-22</t>
  </si>
  <si>
    <t>3190050730</t>
  </si>
  <si>
    <t>CT-CM006-0101-22 CAMISETA KIMONO PALO ROSA T.M</t>
  </si>
  <si>
    <t>3190050731</t>
  </si>
  <si>
    <t>CT-CM006-0101-22 CAMISETA KIMONO PALO ROSA T.G</t>
  </si>
  <si>
    <t>3190050732</t>
  </si>
  <si>
    <t>CT-CM006-0101-22 CAMISETA KIMONO PALO ROSA T.EG</t>
  </si>
  <si>
    <t>3190050733</t>
  </si>
  <si>
    <t>CT-EMA-0102-22 CAMISETA CORTA AZUL MARINO T.P</t>
  </si>
  <si>
    <t>CT-EMA-0102-22</t>
  </si>
  <si>
    <t>3190050737</t>
  </si>
  <si>
    <t>CT-EMA-0101-22 CAMISETA CORTA NEGRO T.P</t>
  </si>
  <si>
    <t>CT-EMA-0101-22</t>
  </si>
  <si>
    <t>3190051003</t>
  </si>
  <si>
    <t>URB-LILA-0207-22 CAMISETA CORTA ROSADO T.G</t>
  </si>
  <si>
    <t>URB-LILA-0207-22</t>
  </si>
  <si>
    <t>3190051006</t>
  </si>
  <si>
    <t>URB-LILA-0208-22 CAMISETA CORTA GRIS JASPEADO T.M</t>
  </si>
  <si>
    <t>URB-LILA-0208-22</t>
  </si>
  <si>
    <t>3190051007</t>
  </si>
  <si>
    <t>URB-LILA-0208-22 CAMISETA CORTA GRIS JASPEADO T.G</t>
  </si>
  <si>
    <t>3190090001</t>
  </si>
  <si>
    <t>I-BLEONORI-0101-22 VESTIDO SISA CORAL T.2</t>
  </si>
  <si>
    <t>I-BLEONORI-0101-22</t>
  </si>
  <si>
    <t>SISA</t>
  </si>
  <si>
    <t>3190090002</t>
  </si>
  <si>
    <t>I-BLEONORI-0101-22 VESTIDO SISA CORAL T.4</t>
  </si>
  <si>
    <t>3190090003</t>
  </si>
  <si>
    <t>I-BLEONORI-0101-22 VESTIDO SISA CORAL T.6</t>
  </si>
  <si>
    <t>3190090004</t>
  </si>
  <si>
    <t>I-BLEONORI-0101-22 VESTIDO SISA CORAL T.8</t>
  </si>
  <si>
    <t>3190090006</t>
  </si>
  <si>
    <t>I-BLEONORI-0102-22 VESTIDO SISA MENTA T.4</t>
  </si>
  <si>
    <t>I-BLEONORI-0102-22</t>
  </si>
  <si>
    <t>3190090007</t>
  </si>
  <si>
    <t>I-BLEONORI-0102-22 VESTIDO SISA MENTA T.6</t>
  </si>
  <si>
    <t>3190090009</t>
  </si>
  <si>
    <t>I-BLEONORI-0103-22 VESTIDO SISA AMARILLO T.2</t>
  </si>
  <si>
    <t>I-BLEONORI-0103-22</t>
  </si>
  <si>
    <t>3190090010</t>
  </si>
  <si>
    <t>I-BLEONORI-0103-22 VESTIDO SISA AMARILLO T.4</t>
  </si>
  <si>
    <t>3190090012</t>
  </si>
  <si>
    <t>I-BLEONORI-0103-22 VESTIDO SISA AMARILLO T.8</t>
  </si>
  <si>
    <t>3190090013</t>
  </si>
  <si>
    <t>I-BLEONORI-0104-22 VESTIDO SISA GRIS JASPEADO T.2</t>
  </si>
  <si>
    <t>I-BLEONORI-0104-22</t>
  </si>
  <si>
    <t>3190090014</t>
  </si>
  <si>
    <t>I-BLEONORI-0104-22 VESTIDO SISA GRIS JASPEADO T.4</t>
  </si>
  <si>
    <t>3190090015</t>
  </si>
  <si>
    <t>I-BLEONORI-0104-22 VESTIDO SISA GRIS JASPEADO T.6</t>
  </si>
  <si>
    <t>3190090016</t>
  </si>
  <si>
    <t>I-BLEONORI-0104-22 VESTIDO SISA GRIS JASPEADO T.8</t>
  </si>
  <si>
    <t>3190090017</t>
  </si>
  <si>
    <t>I-BLEONORI-0105-22 VESTIDO SISA BEIGE T.2</t>
  </si>
  <si>
    <t>I-BLEONORI-0105-22</t>
  </si>
  <si>
    <t>3190090018</t>
  </si>
  <si>
    <t>I-BLEONORI-0105-22 VESTIDO SISA BEIGE T.4</t>
  </si>
  <si>
    <t>3190090021</t>
  </si>
  <si>
    <t>I-BLEONORI-0106-22 VESTIDO SISA MELON T.2</t>
  </si>
  <si>
    <t>I-BLEONORI-0106-22</t>
  </si>
  <si>
    <t>3190090022</t>
  </si>
  <si>
    <t>I-BLEONORI-0106-22 VESTIDO SISA MELON T.4</t>
  </si>
  <si>
    <t>3190090023</t>
  </si>
  <si>
    <t>I-BLEONORI-0106-22 VESTIDO SISA MELON T.6</t>
  </si>
  <si>
    <t>3190090024</t>
  </si>
  <si>
    <t>I-BLEONORI-0106-22 VESTIDO SISA MELON T.8</t>
  </si>
  <si>
    <t>3190090025</t>
  </si>
  <si>
    <t>I-BLEONORI-0107-22 VESTIDO SISA AZUL T.2</t>
  </si>
  <si>
    <t>I-BLEONORI-0107-22</t>
  </si>
  <si>
    <t>3190090027</t>
  </si>
  <si>
    <t>I-BLEONORI-0107-22 VESTIDO SISA AZUL T.6</t>
  </si>
  <si>
    <t>3190090028</t>
  </si>
  <si>
    <t>I-BLEONORI-0107-22 VESTIDO SISA AZUL T.8</t>
  </si>
  <si>
    <t>3193720023</t>
  </si>
  <si>
    <t>E-PL101-LL-01-22 LEGGINS LLANO AZUL PIEDRA T.14</t>
  </si>
  <si>
    <t>3193720025</t>
  </si>
  <si>
    <t>E-PL101-LL-01-22 LEGGINS LLANO FUCSIA T.10</t>
  </si>
  <si>
    <t>3193720026</t>
  </si>
  <si>
    <t>E-PL101-LL-01-22 LEGGINS LLANO FUCSIA T.12</t>
  </si>
  <si>
    <t>3193720027</t>
  </si>
  <si>
    <t>E-PL101-LL-01-22 LEGGINS LLANO FUCSIA T.14</t>
  </si>
  <si>
    <t>3193720030</t>
  </si>
  <si>
    <t>E-PL101-LL-01-22 LEGGINS LLANO GRIS CLARO T.12</t>
  </si>
  <si>
    <t>3193720031</t>
  </si>
  <si>
    <t>E-PL101-LL-01-22 LEGGINS LLANO GRIS CLARO T.14</t>
  </si>
  <si>
    <t>3193720034</t>
  </si>
  <si>
    <t>E-PL101-LL-01-22 LEGGINS LLANO GRIS OSCURO T.12</t>
  </si>
  <si>
    <t>3193720035</t>
  </si>
  <si>
    <t>E-PL101-LL-01-22 LEGGINS LLANO GRIS OSCURO T.14</t>
  </si>
  <si>
    <t>3193720036</t>
  </si>
  <si>
    <t>E-PL101-LL-01-22 LEGGINS LLANO GRIS OSCURO T.16</t>
  </si>
  <si>
    <t>3193720037</t>
  </si>
  <si>
    <t>E-PL101-LL-01-22 LEGGINS LLANO NEGRO T.10</t>
  </si>
  <si>
    <t>3193720038</t>
  </si>
  <si>
    <t>E-PL101-LL-01-22 LEGGINS LLANO NEGRO T.12</t>
  </si>
  <si>
    <t>3193720039</t>
  </si>
  <si>
    <t>E-PL101-LL-01-22 LEGGINS LLANO NEGRO T.14</t>
  </si>
  <si>
    <t>3193720040</t>
  </si>
  <si>
    <t>E-PL101-LL-01-22 LEGGINS LLANO NEGRO T.16</t>
  </si>
  <si>
    <t>25/ene/2022-&gt;10/feb/2022</t>
  </si>
  <si>
    <t>CT-ALBA-0101-22</t>
  </si>
  <si>
    <t>CT-ALBA-0101-22 CAMISETA</t>
  </si>
  <si>
    <t>CT-ALBA-0102-22</t>
  </si>
  <si>
    <t>CT-ALBA-0102-22 CAMISETA</t>
  </si>
  <si>
    <t>CT-ALBA-0103-22</t>
  </si>
  <si>
    <t>CT-ALBA-0103-22 CAMISETA</t>
  </si>
  <si>
    <t>CT-ALBA-0104-22 CAMISETA</t>
  </si>
  <si>
    <t>CT-ALBA-0106-22 CAMISETA</t>
  </si>
  <si>
    <t>CT-ALBA-0107-22 CAMISETA</t>
  </si>
  <si>
    <t>CT-ALBA-0108-22 CAMISETA</t>
  </si>
  <si>
    <t>CT-ALBA-0109-22 CAMISETA</t>
  </si>
  <si>
    <t>CT-EMILIA-02-22 CAMISETA</t>
  </si>
  <si>
    <t>CT-GABY-0210-22 CAMISETA</t>
  </si>
  <si>
    <t>CT-GABY-0211-22 CAMISETA</t>
  </si>
  <si>
    <t>CT-GABY-0212-22 CAMISETA</t>
  </si>
  <si>
    <t>CT-GABY-0213-22 CAMISETA</t>
  </si>
  <si>
    <t>CT-GABY-0214-22 CAMISETA</t>
  </si>
  <si>
    <t>CT-GABY-0215-22 CAMISETA</t>
  </si>
  <si>
    <t>CT-GABY-0216-22 CAMISETA</t>
  </si>
  <si>
    <t>CT-GABY-0217-22 CAMISETA</t>
  </si>
  <si>
    <t>CT-GABY-0218-22 CAMISETA</t>
  </si>
  <si>
    <t>CT-PL-EMILIA-22 CAMISETA</t>
  </si>
  <si>
    <t>CT-PL-PLR-02-22</t>
  </si>
  <si>
    <t>CT-PLR-02-22</t>
  </si>
  <si>
    <t>CT-PLTM-22</t>
  </si>
  <si>
    <t>E-BL190-0106-22 CAMISETA</t>
  </si>
  <si>
    <t>E-IRIA-0101-22 VESTIDO</t>
  </si>
  <si>
    <t>E-KERLYES-02-22 CAMISETA</t>
  </si>
  <si>
    <t>E-MILA-0201-22 CAMISETA</t>
  </si>
  <si>
    <t>E-MILA-0202-22 CAMISETA</t>
  </si>
  <si>
    <t>E-MILA-0203-22 CAMISETA</t>
  </si>
  <si>
    <t>E-MILA-0204-22 CAMISETA</t>
  </si>
  <si>
    <t>E-MILA-0205-22 CAMISETA</t>
  </si>
  <si>
    <t>E-MILA-0206-22 CAMISETA</t>
  </si>
  <si>
    <t>E-MILA-0207-22 CAMISETA</t>
  </si>
  <si>
    <t>E-MILA-0208-22 CAMISETA</t>
  </si>
  <si>
    <t>E-MILA-0209-22 CAMISETA</t>
  </si>
  <si>
    <t>E-MILA-0210-22 CAMISETA</t>
  </si>
  <si>
    <t>URB-JESSI-22 CAMISETA</t>
  </si>
  <si>
    <t>URB-LILA-0201-22 CAMISETA</t>
  </si>
  <si>
    <t>URB-LILA-0202-22</t>
  </si>
  <si>
    <t>URB-LILA-0202-22 CAMISETA</t>
  </si>
  <si>
    <t>URB-LILA-0203-22</t>
  </si>
  <si>
    <t>URB-LILA-0203-22 CAMISETA</t>
  </si>
  <si>
    <t>URB-LILA-0204-22</t>
  </si>
  <si>
    <t>URB-LILA-0204-22 CAMISETA</t>
  </si>
  <si>
    <t>URB-LILA-0205-22</t>
  </si>
  <si>
    <t>URB-LILA-0205-22 CAMISETA</t>
  </si>
  <si>
    <t>URB-LILA-0206-22 CAMISETA</t>
  </si>
  <si>
    <t>URB-LUCIANA-22</t>
  </si>
  <si>
    <t>URB-LUCIANA-22 CAMISETA</t>
  </si>
  <si>
    <t>3190050001</t>
  </si>
  <si>
    <t>E-BL190-0101-22 CAMISETA M/C PALO ROSA T.10</t>
  </si>
  <si>
    <t>3190050008</t>
  </si>
  <si>
    <t>E-BL190-0102-22 CAMISETA M/C AMARILLO T.16</t>
  </si>
  <si>
    <t>3190050010</t>
  </si>
  <si>
    <t>E-BL190-0103-22 CAMISETA M/C MELON T.12</t>
  </si>
  <si>
    <t>3190050012</t>
  </si>
  <si>
    <t>E-BL190-0103-22 CAMISETA M/C MELON T.16</t>
  </si>
  <si>
    <t>3190050016</t>
  </si>
  <si>
    <t>E-BL190-0104-22 CAMISETA M/C BEIGE T.16</t>
  </si>
  <si>
    <t>3190050021</t>
  </si>
  <si>
    <t>E-BL190-0106-22 CAMISETA M/C FUCSIA T.10</t>
  </si>
  <si>
    <t>E-BL190-0106-22</t>
  </si>
  <si>
    <t>3190050022</t>
  </si>
  <si>
    <t>E-BL190-0106-22 CAMISETA M/C FUCSIA T.12</t>
  </si>
  <si>
    <t>3190050024</t>
  </si>
  <si>
    <t>E-BL190-0106-22 CAMISETA M/C FUCSIA T.16</t>
  </si>
  <si>
    <t>3190050025</t>
  </si>
  <si>
    <t>E-BL190-0107-22 CAMISETA M/C MENTA T.10</t>
  </si>
  <si>
    <t>3190050033</t>
  </si>
  <si>
    <t>E-BESMA-01-22 CAMISETA M/C FUCSIA T.10</t>
  </si>
  <si>
    <t>3190050034</t>
  </si>
  <si>
    <t>E-BESMA-01-22 CAMISETA M/C FUCSIA T.12</t>
  </si>
  <si>
    <t>3190050038</t>
  </si>
  <si>
    <t>E-BESMA-01-22 CAMISETA M/C GRIS JASPEADO T.12</t>
  </si>
  <si>
    <t>3190050040</t>
  </si>
  <si>
    <t>E-BESMA-01-22 CAMISETA M/C GRIS JASPEADO T.16</t>
  </si>
  <si>
    <t>3190050041</t>
  </si>
  <si>
    <t>E-BESMA-01-22 CAMISETA M/C NEGRO T.10</t>
  </si>
  <si>
    <t>3190050044</t>
  </si>
  <si>
    <t>E-BESMA-01-22 CAMISETA M/C NEGRO T.16</t>
  </si>
  <si>
    <t>3190050062</t>
  </si>
  <si>
    <t>I-BL190-0105-22 CAMISETA M/C PALO ROSA T.4</t>
  </si>
  <si>
    <t>3190050066</t>
  </si>
  <si>
    <t>I-BL190-0106-22 CAMISETA M/C MENTA T.4</t>
  </si>
  <si>
    <t>3190050067</t>
  </si>
  <si>
    <t>I-BL190-0106-22 CAMISETA M/C MENTA T.6</t>
  </si>
  <si>
    <t>3190050068</t>
  </si>
  <si>
    <t>I-BL190-0106-22 CAMISETA M/C MENTA T.8</t>
  </si>
  <si>
    <t>3190050071</t>
  </si>
  <si>
    <t>I-BL190-0107-22 CAMISETA M/C MENTA T.6</t>
  </si>
  <si>
    <t>3190050094</t>
  </si>
  <si>
    <t>I-BL190-0113-22 CAMISETA M/C AMARILLO T.4</t>
  </si>
  <si>
    <t>3190050096</t>
  </si>
  <si>
    <t>I-BL190-0113-22 CAMISETA M/C AMARILLO T.8</t>
  </si>
  <si>
    <t>3190050097</t>
  </si>
  <si>
    <t>I-BL190-0114-22 CAMISETA M/C AMARILLO T.2</t>
  </si>
  <si>
    <t>3190050102</t>
  </si>
  <si>
    <t>I-BL190-0115-22 CAMISETA M/C ROSADO T.4</t>
  </si>
  <si>
    <t>3190050105</t>
  </si>
  <si>
    <t>I-BL190-0116-22 CAMISETA M/C MELON T.2</t>
  </si>
  <si>
    <t>3190050173</t>
  </si>
  <si>
    <t>CT-ALBA-0104-22 CAMISETA CORTA PALO ROSA T.14</t>
  </si>
  <si>
    <t>CT-ALBA-0104-22</t>
  </si>
  <si>
    <t>3190050174</t>
  </si>
  <si>
    <t>CT-ALBA-0104-22 CAMISETA CORTA PALO ROSA T.16</t>
  </si>
  <si>
    <t>3190050175</t>
  </si>
  <si>
    <t>CT-ALBA-0104-22 CAMISETA CORTA PALO ROSA T.18</t>
  </si>
  <si>
    <t>3190050176</t>
  </si>
  <si>
    <t>CT-ALBA-0104-22 CAMISETA CORTA PALO ROSA T.20</t>
  </si>
  <si>
    <t>3190050177</t>
  </si>
  <si>
    <t>CT-ALBA-0106-22 CAMISETA CORTA NEGRO T.14</t>
  </si>
  <si>
    <t>CT-ALBA-0106-22</t>
  </si>
  <si>
    <t>3190050178</t>
  </si>
  <si>
    <t>CT-ALBA-0106-22 CAMISETA CORTA NEGRO T.16</t>
  </si>
  <si>
    <t>3190050179</t>
  </si>
  <si>
    <t>CT-ALBA-0106-22 CAMISETA CORTA NEGRO T.18</t>
  </si>
  <si>
    <t>3190050180</t>
  </si>
  <si>
    <t>CT-ALBA-0106-22 CAMISETA CORTA NEGRO T.20</t>
  </si>
  <si>
    <t>3190050181</t>
  </si>
  <si>
    <t>CT-ALBA-0107-22 CAMISETA CORTA BEIGE T.14</t>
  </si>
  <si>
    <t>CT-ALBA-0107-22</t>
  </si>
  <si>
    <t>3190050182</t>
  </si>
  <si>
    <t>CT-ALBA-0107-22 CAMISETA CORTA BEIGE T.16</t>
  </si>
  <si>
    <t>3190050183</t>
  </si>
  <si>
    <t>CT-ALBA-0107-22 CAMISETA CORTA BEIGE T.18</t>
  </si>
  <si>
    <t>3190050184</t>
  </si>
  <si>
    <t>CT-ALBA-0107-22 CAMISETA CORTA BEIGE T.20</t>
  </si>
  <si>
    <t>3190050185</t>
  </si>
  <si>
    <t>CT-ALBA-0108-22 CAMISETA CORTA MENTA T.14</t>
  </si>
  <si>
    <t>CT-ALBA-0108-22</t>
  </si>
  <si>
    <t>3190050186</t>
  </si>
  <si>
    <t>CT-ALBA-0108-22 CAMISETA CORTA MENTA T.16</t>
  </si>
  <si>
    <t>3190050187</t>
  </si>
  <si>
    <t>CT-ALBA-0108-22 CAMISETA CORTA MENTA T.18</t>
  </si>
  <si>
    <t>3190050188</t>
  </si>
  <si>
    <t>CT-ALBA-0108-22 CAMISETA CORTA MENTA T.20</t>
  </si>
  <si>
    <t>3190050191</t>
  </si>
  <si>
    <t>CT-ALBA-0109-22 CAMISETA CORTA PALO ROSA T.18</t>
  </si>
  <si>
    <t>CT-ALBA-0109-22</t>
  </si>
  <si>
    <t>3190050192</t>
  </si>
  <si>
    <t>CT-ALBA-0109-22 CAMISETA CORTA PALO ROSA T.20</t>
  </si>
  <si>
    <t>3190050193</t>
  </si>
  <si>
    <t>CT-ALBA-0105-22 CAMISETA CORTA BEIGE T.14</t>
  </si>
  <si>
    <t>3190050195</t>
  </si>
  <si>
    <t>CT-ALBA-0105-22 CAMISETA CORTA BEIGE T.18</t>
  </si>
  <si>
    <t>3190050196</t>
  </si>
  <si>
    <t>CT-ALBA-0105-22 CAMISETA CORTA BEIGE T.20</t>
  </si>
  <si>
    <t>3190050205</t>
  </si>
  <si>
    <t>CT-GABY-0109-22 CAMISETA CORTA CELESTE T.P</t>
  </si>
  <si>
    <t>3190050208</t>
  </si>
  <si>
    <t>CT-GABY-0109-22 CAMISETA CORTA CELESTE T.EG</t>
  </si>
  <si>
    <t>3190050225</t>
  </si>
  <si>
    <t>CT-GABY-0108-22 CAMISETA CORTA NEGRO T.P</t>
  </si>
  <si>
    <t>3190050227</t>
  </si>
  <si>
    <t>CT-GABY-0108-22 CAMISETA CORTA NEGRO T.G</t>
  </si>
  <si>
    <t>3190050246</t>
  </si>
  <si>
    <t>CT-GABY-0210-22 CAMISETA CORTA NEGRO T.M</t>
  </si>
  <si>
    <t>CT-GABY-0210-22</t>
  </si>
  <si>
    <t>3190050248</t>
  </si>
  <si>
    <t>CT-GABY-0210-22 CAMISETA CORTA NEGRO T.EG</t>
  </si>
  <si>
    <t>3190050249</t>
  </si>
  <si>
    <t>CT-GABY-0211-22 CAMISETA CORTA NEGRO T.P</t>
  </si>
  <si>
    <t>CT-GABY-0211-22</t>
  </si>
  <si>
    <t>3190050250</t>
  </si>
  <si>
    <t>CT-GABY-0211-22 CAMISETA CORTA NEGRO T.M</t>
  </si>
  <si>
    <t>3190050251</t>
  </si>
  <si>
    <t>CT-GABY-0211-22 CAMISETA CORTA NEGRO T.G</t>
  </si>
  <si>
    <t>3190050252</t>
  </si>
  <si>
    <t>CT-GABY-0211-22 CAMISETA CORTA NEGRO T.EG</t>
  </si>
  <si>
    <t>3190050254</t>
  </si>
  <si>
    <t>CT-GABY-0212-22 CAMISETA CORTA VERDE MILITAR T.M</t>
  </si>
  <si>
    <t>CT-GABY-0212-22</t>
  </si>
  <si>
    <t>VERDE MILITAR</t>
  </si>
  <si>
    <t>3190050256</t>
  </si>
  <si>
    <t>CT-GABY-0212-22 CAMISETA CORTA VERDE MILITAR T.EG</t>
  </si>
  <si>
    <t>3190050259</t>
  </si>
  <si>
    <t>CT-GABY-0213-22 CAMISETA CORTA JADE T.G</t>
  </si>
  <si>
    <t>CT-GABY-0213-22</t>
  </si>
  <si>
    <t>JADE</t>
  </si>
  <si>
    <t>3190050260</t>
  </si>
  <si>
    <t>CT-GABY-0213-22 CAMISETA CORTA JADE T.EG</t>
  </si>
  <si>
    <t>3190050261</t>
  </si>
  <si>
    <t>CT-GABY-0214-22 CAMISETA CORTA PALO ROSA T.P</t>
  </si>
  <si>
    <t>CT-GABY-0214-22</t>
  </si>
  <si>
    <t>3190050262</t>
  </si>
  <si>
    <t>CT-GABY-0214-22 CAMISETA CORTA PALO ROSA T.M</t>
  </si>
  <si>
    <t>3190050263</t>
  </si>
  <si>
    <t>CT-GABY-0214-22 CAMISETA CORTA PALO ROSA T.G</t>
  </si>
  <si>
    <t>3190050264</t>
  </si>
  <si>
    <t>CT-GABY-0214-22 CAMISETA CORTA PALO ROSA T.EG</t>
  </si>
  <si>
    <t>3190050267</t>
  </si>
  <si>
    <t>CT-GABY-0215-22 CAMISETA CORTA PALO ROSA OSCURO T.G</t>
  </si>
  <si>
    <t>CT-GABY-0215-22</t>
  </si>
  <si>
    <t>3190050271</t>
  </si>
  <si>
    <t>CT-GABY-0216-22 CAMISETA CORTA AZUL MARINO T.G</t>
  </si>
  <si>
    <t>CT-GABY-0216-22</t>
  </si>
  <si>
    <t>3190050272</t>
  </si>
  <si>
    <t>CT-GABY-0216-22 CAMISETA CORTA AZUL MARINO T.EG</t>
  </si>
  <si>
    <t>3190050274</t>
  </si>
  <si>
    <t>CT-GABY-0217-22 CAMISETA CORTA BEIGE T.M</t>
  </si>
  <si>
    <t>CT-GABY-0217-22</t>
  </si>
  <si>
    <t>3190050275</t>
  </si>
  <si>
    <t>CT-GABY-0217-22 CAMISETA CORTA BEIGE T.G</t>
  </si>
  <si>
    <t>3190050277</t>
  </si>
  <si>
    <t>CT-GABY-0218-22 CAMISETA CORTA FUCSIA T.P</t>
  </si>
  <si>
    <t>CT-GABY-0218-22</t>
  </si>
  <si>
    <t>3190050349</t>
  </si>
  <si>
    <t>CT-PL-EMILIA-22 CAMISETA CORTA BLANCO T.14</t>
  </si>
  <si>
    <t>CT-PL-EMILIA-22</t>
  </si>
  <si>
    <t>BLANCO</t>
  </si>
  <si>
    <t>3190050351</t>
  </si>
  <si>
    <t>CT-PL-EMILIA-22 CAMISETA CORTA BLANCO T.18</t>
  </si>
  <si>
    <t>3190050352</t>
  </si>
  <si>
    <t>CT-PL-EMILIA-22 CAMISETA CORTA BLANCO T.20</t>
  </si>
  <si>
    <t>3190050357</t>
  </si>
  <si>
    <t>CT-PL-EMILIA-22 CAMISETA CORTA MELON T.14</t>
  </si>
  <si>
    <t>3190050358</t>
  </si>
  <si>
    <t>CT-PL-EMILIA-22 CAMISETA CORTA MELON T.16</t>
  </si>
  <si>
    <t>3190050359</t>
  </si>
  <si>
    <t>CT-PL-EMILIA-22 CAMISETA CORTA MELON T.18</t>
  </si>
  <si>
    <t>3190050360</t>
  </si>
  <si>
    <t>CT-PL-EMILIA-22 CAMISETA CORTA MELON T.20</t>
  </si>
  <si>
    <t>3190050361</t>
  </si>
  <si>
    <t>CT-PL-EMILIA-22 CAMISETA CORTA MENTA T.14</t>
  </si>
  <si>
    <t>3190050362</t>
  </si>
  <si>
    <t>CT-PL-EMILIA-22 CAMISETA CORTA MENTA T.16</t>
  </si>
  <si>
    <t>3190050363</t>
  </si>
  <si>
    <t>CT-PL-EMILIA-22 CAMISETA CORTA MENTA T.18</t>
  </si>
  <si>
    <t>3190050365</t>
  </si>
  <si>
    <t>CT-PL-EMILIA-22 CAMISETA CORTA NEGRO T.14</t>
  </si>
  <si>
    <t>3190050366</t>
  </si>
  <si>
    <t>CT-PL-EMILIA-22 CAMISETA CORTA NEGRO T.16</t>
  </si>
  <si>
    <t>3190050367</t>
  </si>
  <si>
    <t>CT-PL-EMILIA-22 CAMISETA CORTA NEGRO T.18</t>
  </si>
  <si>
    <t>3190050368</t>
  </si>
  <si>
    <t>CT-PL-EMILIA-22 CAMISETA CORTA NEGRO T.20</t>
  </si>
  <si>
    <t>3190050369</t>
  </si>
  <si>
    <t>CT-PL-EMILIA-22 CAMISETA CORTA CORAL T.14</t>
  </si>
  <si>
    <t>3190050370</t>
  </si>
  <si>
    <t>CT-PL-EMILIA-22 CAMISETA CORTA CORAL T.16</t>
  </si>
  <si>
    <t>3190050372</t>
  </si>
  <si>
    <t>CT-PL-EMILIA-22 CAMISETA CORTA CORAL T.20</t>
  </si>
  <si>
    <t>3190050373</t>
  </si>
  <si>
    <t>CT-EMILIA-02-22 CAMISETA CORTA BLANCO T.P</t>
  </si>
  <si>
    <t>CT-EMILIA-02-22</t>
  </si>
  <si>
    <t>3190050379</t>
  </si>
  <si>
    <t>CT-EMILIA-02-22 CAMISETA CORTA GRIS JASPEADO T.G</t>
  </si>
  <si>
    <t>3190050386</t>
  </si>
  <si>
    <t>CT-EMILIA-02-22 CAMISETA CORTA CORAL T.M</t>
  </si>
  <si>
    <t>3190050388</t>
  </si>
  <si>
    <t>CT-EMILIA-02-22 CAMISETA CORTA CORAL T.EG</t>
  </si>
  <si>
    <t>2022</t>
  </si>
  <si>
    <t>3190050723</t>
  </si>
  <si>
    <t>CT-CM006-0103-22 CAMISETA KIMONO AZUL MARINO T.G</t>
  </si>
  <si>
    <t>3190050734</t>
  </si>
  <si>
    <t>CT-EMA-0102-22 CAMISETA CORTA AZUL MARINO T.M</t>
  </si>
  <si>
    <t>3190050735</t>
  </si>
  <si>
    <t>CT-EMA-0102-22 CAMISETA CORTA AZUL MARINO T.G</t>
  </si>
  <si>
    <t>3190050738</t>
  </si>
  <si>
    <t>CT-EMA-0101-22 CAMISETA CORTA NEGRO T.M</t>
  </si>
  <si>
    <t>3190050739</t>
  </si>
  <si>
    <t>CT-EMA-0101-22 CAMISETA CORTA NEGRO T.G</t>
  </si>
  <si>
    <t>3190050740</t>
  </si>
  <si>
    <t>CT-EMA-0101-22 CAMISETA CORTA NEGRO T.EG</t>
  </si>
  <si>
    <t>3190050887</t>
  </si>
  <si>
    <t>URB-LUCIANA-22 CAMISETA CORTA GRIS OSCURO T.G</t>
  </si>
  <si>
    <t>3190050889</t>
  </si>
  <si>
    <t>URB-LUCIANA-22 CAMISETA CORTA HABANO T.P</t>
  </si>
  <si>
    <t>HABANO</t>
  </si>
  <si>
    <t>3190050890</t>
  </si>
  <si>
    <t>URB-LUCIANA-22 CAMISETA CORTA HABANO T.M</t>
  </si>
  <si>
    <t>3190050891</t>
  </si>
  <si>
    <t>URB-LUCIANA-22 CAMISETA CORTA HABANO T.G</t>
  </si>
  <si>
    <t>3190050893</t>
  </si>
  <si>
    <t>URB-LUCIANA-22 CAMISETA CORTA MELON T.P</t>
  </si>
  <si>
    <t>3190050894</t>
  </si>
  <si>
    <t>URB-LUCIANA-22 CAMISETA CORTA MELON T.M</t>
  </si>
  <si>
    <t>3190050896</t>
  </si>
  <si>
    <t>URB-LUCIANA-22 CAMISETA CORTA MELON T.EG</t>
  </si>
  <si>
    <t>3190050898</t>
  </si>
  <si>
    <t>URB-LUCIANA-22 CAMISETA CORTA NEGRO T.M</t>
  </si>
  <si>
    <t>3190050901</t>
  </si>
  <si>
    <t>URB-LUCIANA-22 CAMISETA CORTA PALO ROSA OSCURO T.P</t>
  </si>
  <si>
    <t>3190050902</t>
  </si>
  <si>
    <t>URB-LUCIANA-22 CAMISETA CORTA PALO ROSA OSCURO T.M</t>
  </si>
  <si>
    <t>3190050903</t>
  </si>
  <si>
    <t>URB-LUCIANA-22 CAMISETA CORTA PALO ROSA OSCURO T.G</t>
  </si>
  <si>
    <t>3190050904</t>
  </si>
  <si>
    <t>URB-LUCIANA-22 CAMISETA CORTA PALO ROSA OSCURO T.EG</t>
  </si>
  <si>
    <t>3190050905</t>
  </si>
  <si>
    <t>URB-LUCIANA-22 CAMISETA CORTA VERDE ACEITUNA T.P</t>
  </si>
  <si>
    <t>VERDE ACEITUNA</t>
  </si>
  <si>
    <t>3190050906</t>
  </si>
  <si>
    <t>URB-LUCIANA-22 CAMISETA CORTA VERDE ACEITUNA T.M</t>
  </si>
  <si>
    <t>3190050907</t>
  </si>
  <si>
    <t>URB-LUCIANA-22 CAMISETA CORTA VERDE ACEITUNA T.G</t>
  </si>
  <si>
    <t>3190050908</t>
  </si>
  <si>
    <t>URB-LUCIANA-22 CAMISETA CORTA VERDE ACEITUNA T.EG</t>
  </si>
  <si>
    <t>3190050909</t>
  </si>
  <si>
    <t>URB-JESSI-22 CAMISETA CORTA MOSTAZA T.P</t>
  </si>
  <si>
    <t>URB-JESSI-22</t>
  </si>
  <si>
    <t>MOSTAZA</t>
  </si>
  <si>
    <t>3190050910</t>
  </si>
  <si>
    <t>URB-JESSI-22 CAMISETA CORTA MOSTAZA T.M</t>
  </si>
  <si>
    <t>3190050911</t>
  </si>
  <si>
    <t>URB-JESSI-22 CAMISETA CORTA MOSTAZA T.G</t>
  </si>
  <si>
    <t>3190050912</t>
  </si>
  <si>
    <t>URB-JESSI-22 CAMISETA CORTA MOSTAZA T.EG</t>
  </si>
  <si>
    <t>3190050914</t>
  </si>
  <si>
    <t>URB-JESSI-22 CAMISETA CORTA NEGRO T.M</t>
  </si>
  <si>
    <t>3190050915</t>
  </si>
  <si>
    <t>URB-JESSI-22 CAMISETA CORTA NEGRO T.G</t>
  </si>
  <si>
    <t>3190050917</t>
  </si>
  <si>
    <t>URB-JESSI-22 CAMISETA CORTA TERRACOTA T.P</t>
  </si>
  <si>
    <t>TERRACOTA</t>
  </si>
  <si>
    <t>3190050918</t>
  </si>
  <si>
    <t>URB-JESSI-22 CAMISETA CORTA TERRACOTA T.M</t>
  </si>
  <si>
    <t>3190050919</t>
  </si>
  <si>
    <t>URB-JESSI-22 CAMISETA CORTA TERRACOTA T.G</t>
  </si>
  <si>
    <t>3190050921</t>
  </si>
  <si>
    <t>URB-JESSI-22 CAMISETA CORTA VERDE ACEITUNA T.P</t>
  </si>
  <si>
    <t>3190050929</t>
  </si>
  <si>
    <t>E-MILA-0201-22 CAMISETA M/C BEIGE T.10</t>
  </si>
  <si>
    <t>E-MILA-0201-22</t>
  </si>
  <si>
    <t>3190050932</t>
  </si>
  <si>
    <t>E-MILA-0201-22 CAMISETA M/C BEIGE T.16</t>
  </si>
  <si>
    <t>3190050933</t>
  </si>
  <si>
    <t>E-MILA-0202-22 CAMISETA M/C PALO ROSA T.10</t>
  </si>
  <si>
    <t>E-MILA-0202-22</t>
  </si>
  <si>
    <t>3190050935</t>
  </si>
  <si>
    <t>E-MILA-0202-22 CAMISETA M/C PALO ROSA T.14</t>
  </si>
  <si>
    <t>3190050936</t>
  </si>
  <si>
    <t>E-MILA-0202-22 CAMISETA M/C PALO ROSA T.16</t>
  </si>
  <si>
    <t>3190050937</t>
  </si>
  <si>
    <t>E-MILA-0203-22 CAMISETA M/C PALO ROSA T.10</t>
  </si>
  <si>
    <t>E-MILA-0203-22</t>
  </si>
  <si>
    <t>3190050938</t>
  </si>
  <si>
    <t>E-MILA-0203-22 CAMISETA M/C PALO ROSA T.12</t>
  </si>
  <si>
    <t>3190050939</t>
  </si>
  <si>
    <t>E-MILA-0203-22 CAMISETA M/C PALO ROSA T.14</t>
  </si>
  <si>
    <t>3190050940</t>
  </si>
  <si>
    <t>E-MILA-0203-22 CAMISETA M/C PALO ROSA T.16</t>
  </si>
  <si>
    <t>3190050941</t>
  </si>
  <si>
    <t>E-MILA-0204-22 CAMISETA M/C MENTA T.10</t>
  </si>
  <si>
    <t>E-MILA-0204-22</t>
  </si>
  <si>
    <t>3190050942</t>
  </si>
  <si>
    <t>E-MILA-0204-22 CAMISETA M/C MENTA T.12</t>
  </si>
  <si>
    <t>3190050943</t>
  </si>
  <si>
    <t>E-MILA-0204-22 CAMISETA M/C MENTA T.14</t>
  </si>
  <si>
    <t>3190050944</t>
  </si>
  <si>
    <t>E-MILA-0204-22 CAMISETA M/C MENTA T.16</t>
  </si>
  <si>
    <t>3190050945</t>
  </si>
  <si>
    <t>E-MILA-0205-22 CAMISETA M/C GRIS JASPEADO T.10</t>
  </si>
  <si>
    <t>E-MILA-0205-22</t>
  </si>
  <si>
    <t>3190050946</t>
  </si>
  <si>
    <t>E-MILA-0205-22 CAMISETA M/C GRIS JASPEADO T.12</t>
  </si>
  <si>
    <t>3190050947</t>
  </si>
  <si>
    <t>E-MILA-0205-22 CAMISETA M/C GRIS JASPEADO T.14</t>
  </si>
  <si>
    <t>3190050948</t>
  </si>
  <si>
    <t>E-MILA-0205-22 CAMISETA M/C GRIS JASPEADO T.16</t>
  </si>
  <si>
    <t>3190050949</t>
  </si>
  <si>
    <t>E-MILA-0206-22 CAMISETA M/C AZUL T.10</t>
  </si>
  <si>
    <t>E-MILA-0206-22</t>
  </si>
  <si>
    <t>3190050950</t>
  </si>
  <si>
    <t>E-MILA-0206-22 CAMISETA M/C AZUL T.12</t>
  </si>
  <si>
    <t>3190050951</t>
  </si>
  <si>
    <t>E-MILA-0206-22 CAMISETA M/C AZUL T.14</t>
  </si>
  <si>
    <t>3190050952</t>
  </si>
  <si>
    <t>E-MILA-0206-22 CAMISETA M/C AZUL T.16</t>
  </si>
  <si>
    <t>3190050953</t>
  </si>
  <si>
    <t>E-MILA-0207-22 CAMISETA M/C FUCSIA T.10</t>
  </si>
  <si>
    <t>E-MILA-0207-22</t>
  </si>
  <si>
    <t>3190050954</t>
  </si>
  <si>
    <t>E-MILA-0207-22 CAMISETA M/C FUCSIA T.12</t>
  </si>
  <si>
    <t>3190050956</t>
  </si>
  <si>
    <t>E-MILA-0207-22 CAMISETA M/C FUCSIA T.16</t>
  </si>
  <si>
    <t>3190050957</t>
  </si>
  <si>
    <t>E-MILA-0208-22 CAMISETA M/C AMARILLO T.10</t>
  </si>
  <si>
    <t>E-MILA-0208-22</t>
  </si>
  <si>
    <t>3190050958</t>
  </si>
  <si>
    <t>E-MILA-0208-22 CAMISETA M/C AMARILLO T.12</t>
  </si>
  <si>
    <t>3190050960</t>
  </si>
  <si>
    <t>E-MILA-0208-22 CAMISETA M/C AMARILLO T.16</t>
  </si>
  <si>
    <t>3190050961</t>
  </si>
  <si>
    <t>E-MILA-0209-22 CAMISETA M/C BEIGE T.10</t>
  </si>
  <si>
    <t>E-MILA-0209-22</t>
  </si>
  <si>
    <t>3190050962</t>
  </si>
  <si>
    <t>E-MILA-0209-22 CAMISETA M/C BEIGE T.12</t>
  </si>
  <si>
    <t>3190050963</t>
  </si>
  <si>
    <t>E-MILA-0209-22 CAMISETA M/C BEIGE T.14</t>
  </si>
  <si>
    <t>3190050964</t>
  </si>
  <si>
    <t>E-MILA-0209-22 CAMISETA M/C BEIGE T.16</t>
  </si>
  <si>
    <t>3190050965</t>
  </si>
  <si>
    <t>CT-ALBA-0101-22 CAMISETA CORTA AMARILLO T.14</t>
  </si>
  <si>
    <t>3190050966</t>
  </si>
  <si>
    <t>CT-ALBA-0101-22 CAMISETA CORTA AMARILLO T.16</t>
  </si>
  <si>
    <t>3190050967</t>
  </si>
  <si>
    <t>CT-ALBA-0101-22 CAMISETA CORTA AMARILLO T.18</t>
  </si>
  <si>
    <t>3190050968</t>
  </si>
  <si>
    <t>CT-ALBA-0101-22 CAMISETA CORTA AMARILLO T.20</t>
  </si>
  <si>
    <t>3190050969</t>
  </si>
  <si>
    <t>CT-ALBA-0102-22 CAMISETA CORTA NEGRO T.14</t>
  </si>
  <si>
    <t>3190050970</t>
  </si>
  <si>
    <t>CT-ALBA-0102-22 CAMISETA CORTA NEGRO T.16</t>
  </si>
  <si>
    <t>3190050971</t>
  </si>
  <si>
    <t>CT-ALBA-0102-22 CAMISETA CORTA NEGRO T.18</t>
  </si>
  <si>
    <t>3190050972</t>
  </si>
  <si>
    <t>CT-ALBA-0102-22 CAMISETA CORTA NEGRO T.20</t>
  </si>
  <si>
    <t>3190050973</t>
  </si>
  <si>
    <t>CT-ALBA-0103-22 CAMISETA CORTA CELESTE T.14</t>
  </si>
  <si>
    <t>3190050974</t>
  </si>
  <si>
    <t>CT-ALBA-0103-22 CAMISETA CORTA CELESTE T.16</t>
  </si>
  <si>
    <t>3190050975</t>
  </si>
  <si>
    <t>CT-ALBA-0103-22 CAMISETA CORTA CELESTE T.18</t>
  </si>
  <si>
    <t>3190050976</t>
  </si>
  <si>
    <t>CT-ALBA-0103-22 CAMISETA CORTA CELESTE T.20</t>
  </si>
  <si>
    <t>3190050977</t>
  </si>
  <si>
    <t>URB-LILA-0201-22 CAMISETA CORTA NEGRO T.P</t>
  </si>
  <si>
    <t>URB-LILA-0201-22</t>
  </si>
  <si>
    <t>3190050978</t>
  </si>
  <si>
    <t>URB-LILA-0201-22 CAMISETA CORTA NEGRO T.M</t>
  </si>
  <si>
    <t>3190050979</t>
  </si>
  <si>
    <t>URB-LILA-0201-22 CAMISETA CORTA NEGRO T.G</t>
  </si>
  <si>
    <t>3190050980</t>
  </si>
  <si>
    <t>URB-LILA-0201-22 CAMISETA CORTA NEGRO T.EG</t>
  </si>
  <si>
    <t>3190050981</t>
  </si>
  <si>
    <t>URB-LILA-0202-22 CAMISETA CORTA PALO ROSA T.P</t>
  </si>
  <si>
    <t>3190050982</t>
  </si>
  <si>
    <t>URB-LILA-0202-22 CAMISETA CORTA PALO ROSA T.M</t>
  </si>
  <si>
    <t>3190050983</t>
  </si>
  <si>
    <t>URB-LILA-0202-22 CAMISETA CORTA PALO ROSA T.G</t>
  </si>
  <si>
    <t>3190050984</t>
  </si>
  <si>
    <t>URB-LILA-0202-22 CAMISETA CORTA PALO ROSA T.EG</t>
  </si>
  <si>
    <t>3190050985</t>
  </si>
  <si>
    <t>URB-LILA-0203-22 CAMISETA CORTA VERDE MILITAR T.P</t>
  </si>
  <si>
    <t>3190050986</t>
  </si>
  <si>
    <t>URB-LILA-0203-22 CAMISETA CORTA VERDE MILITAR T.M</t>
  </si>
  <si>
    <t>3190050987</t>
  </si>
  <si>
    <t>URB-LILA-0203-22 CAMISETA CORTA VERDE MILITAR T.G</t>
  </si>
  <si>
    <t>3190050988</t>
  </si>
  <si>
    <t>URB-LILA-0203-22 CAMISETA CORTA VERDE MILITAR T.EG</t>
  </si>
  <si>
    <t>3190050989</t>
  </si>
  <si>
    <t>URB-LILA-0204-22 CAMISETA CORTA MENTA T.P</t>
  </si>
  <si>
    <t>3190050990</t>
  </si>
  <si>
    <t>URB-LILA-0204-22 CAMISETA CORTA MENTA T.M</t>
  </si>
  <si>
    <t>3190050991</t>
  </si>
  <si>
    <t>URB-LILA-0204-22 CAMISETA CORTA MENTA T.G</t>
  </si>
  <si>
    <t>3190050992</t>
  </si>
  <si>
    <t>URB-LILA-0204-22 CAMISETA CORTA MENTA T.EG</t>
  </si>
  <si>
    <t>3190050993</t>
  </si>
  <si>
    <t>URB-LILA-0205-22 CAMISETA CORTA BEIGE T.P</t>
  </si>
  <si>
    <t>3190050994</t>
  </si>
  <si>
    <t>URB-LILA-0205-22 CAMISETA CORTA BEIGE T.M</t>
  </si>
  <si>
    <t>3190050995</t>
  </si>
  <si>
    <t>URB-LILA-0205-22 CAMISETA CORTA BEIGE T.G</t>
  </si>
  <si>
    <t>3190050996</t>
  </si>
  <si>
    <t>URB-LILA-0205-22 CAMISETA CORTA BEIGE T.EG</t>
  </si>
  <si>
    <t>3190050997</t>
  </si>
  <si>
    <t>URB-LILA-0206-22 CAMISETA CORTA AZUL MARINO T.P</t>
  </si>
  <si>
    <t>URB-LILA-0206-22</t>
  </si>
  <si>
    <t>3190050998</t>
  </si>
  <si>
    <t>URB-LILA-0206-22 CAMISETA CORTA AZUL MARINO T.M</t>
  </si>
  <si>
    <t>3190050999</t>
  </si>
  <si>
    <t>URB-LILA-0206-22 CAMISETA CORTA AZUL MARINO T.G</t>
  </si>
  <si>
    <t>3190051000</t>
  </si>
  <si>
    <t>URB-LILA-0206-22 CAMISETA CORTA AZUL MARINO T.EG</t>
  </si>
  <si>
    <t>3190051001</t>
  </si>
  <si>
    <t>URB-LILA-0207-22 CAMISETA CORTA ROSADO T.P</t>
  </si>
  <si>
    <t>3190051002</t>
  </si>
  <si>
    <t>URB-LILA-0207-22 CAMISETA CORTA ROSADO T.M</t>
  </si>
  <si>
    <t>3190051004</t>
  </si>
  <si>
    <t>URB-LILA-0207-22 CAMISETA CORTA ROSADO T.EG</t>
  </si>
  <si>
    <t>3190051005</t>
  </si>
  <si>
    <t>URB-LILA-0208-22 CAMISETA CORTA GRIS JASPEADO T.P</t>
  </si>
  <si>
    <t>3190051008</t>
  </si>
  <si>
    <t>URB-LILA-0208-22 CAMISETA CORTA GRIS JASPEADO T.EG</t>
  </si>
  <si>
    <t>3190051009</t>
  </si>
  <si>
    <t>E-MILA-0210-22 CAMISETA M/C AMARILLO T.10</t>
  </si>
  <si>
    <t>E-MILA-0210-22</t>
  </si>
  <si>
    <t>3190051010</t>
  </si>
  <si>
    <t>E-MILA-0210-22 CAMISETA M/C AMARILLO T.12</t>
  </si>
  <si>
    <t>3190051011</t>
  </si>
  <si>
    <t>E-MILA-0210-22 CAMISETA M/C AMARILLO T.14</t>
  </si>
  <si>
    <t>3190051013</t>
  </si>
  <si>
    <t>E-KERLYES-02-22 CAMISETA KIMONO SURTIDO T.10</t>
  </si>
  <si>
    <t>E-KERLYES-02-22</t>
  </si>
  <si>
    <t>SURTIDO</t>
  </si>
  <si>
    <t>3190051014</t>
  </si>
  <si>
    <t>E-KERLYES-02-22 CAMISETA KIMONO SURTIDO T.12</t>
  </si>
  <si>
    <t>3190051015</t>
  </si>
  <si>
    <t>E-KERLYES-02-22 CAMISETA KIMONO SURTIDO T.14</t>
  </si>
  <si>
    <t>3190051016</t>
  </si>
  <si>
    <t>E-KERLYES-02-22 CAMISETA KIMONO SURTIDO T.16</t>
  </si>
  <si>
    <t>3190090005</t>
  </si>
  <si>
    <t>I-BLEONORI-0102-22 VESTIDO SISA MENTA T.2</t>
  </si>
  <si>
    <t>3190090008</t>
  </si>
  <si>
    <t>I-BLEONORI-0102-22 VESTIDO SISA MENTA T.8</t>
  </si>
  <si>
    <t>3190090011</t>
  </si>
  <si>
    <t>I-BLEONORI-0103-22 VESTIDO SISA AMARILLO T.6</t>
  </si>
  <si>
    <t>3190090019</t>
  </si>
  <si>
    <t>I-BLEONORI-0105-22 VESTIDO SISA BEIGE T.6</t>
  </si>
  <si>
    <t>3190090020</t>
  </si>
  <si>
    <t>I-BLEONORI-0105-22 VESTIDO SISA BEIGE T.8</t>
  </si>
  <si>
    <t>3190090026</t>
  </si>
  <si>
    <t>I-BLEONORI-0107-22 VESTIDO SISA AZUL T.4</t>
  </si>
  <si>
    <t>3190090093</t>
  </si>
  <si>
    <t>E-IRIA-0101-22 VESTIDO CON CAPUCHA  AZUL MARINO T.10</t>
  </si>
  <si>
    <t>E-IRIA-0101-22</t>
  </si>
  <si>
    <t>CON</t>
  </si>
  <si>
    <t>CAPUCHA  AZUL MARINO</t>
  </si>
  <si>
    <t>3190090095</t>
  </si>
  <si>
    <t>E-IRIA-0101-22 VESTIDO CON CAPUCHA  AZUL MARINO T.14</t>
  </si>
  <si>
    <t>3190090097</t>
  </si>
  <si>
    <t>E-IRIA-0101-22 VESTIDO CON CAPUCHA  FRESA T.10</t>
  </si>
  <si>
    <t>CAPUCHA  FRESA</t>
  </si>
  <si>
    <t>3190090098</t>
  </si>
  <si>
    <t>E-IRIA-0101-22 VESTIDO CON CAPUCHA  FRESA T.12</t>
  </si>
  <si>
    <t>3190090099</t>
  </si>
  <si>
    <t>E-IRIA-0101-22 VESTIDO CON CAPUCHA  FRESA T.14</t>
  </si>
  <si>
    <t>3190090100</t>
  </si>
  <si>
    <t>E-IRIA-0101-22 VESTIDO CON CAPUCHA  FRESA T.16</t>
  </si>
  <si>
    <t>3190090103</t>
  </si>
  <si>
    <t>E-IRIA-0101-22 VESTIDO CON CAPUCHA  GRIS T.14</t>
  </si>
  <si>
    <t>CAPUCHA  GRIS</t>
  </si>
  <si>
    <t>3190090105</t>
  </si>
  <si>
    <t>E-IRIA-0101-22 VESTIDO CON CAPUCHA  MELON T.10</t>
  </si>
  <si>
    <t>CAPUCHA  MELON</t>
  </si>
  <si>
    <t>3190090107</t>
  </si>
  <si>
    <t>E-IRIA-0101-22 VESTIDO CON CAPUCHA  MELON T.14</t>
  </si>
  <si>
    <t>3190090108</t>
  </si>
  <si>
    <t>E-IRIA-0101-22 VESTIDO CON CAPUCHA  MELON T.16</t>
  </si>
  <si>
    <t>3193720021</t>
  </si>
  <si>
    <t>E-PL101-LL-01-22 LEGGINS LLANO AZUL PIEDRA T.10</t>
  </si>
  <si>
    <t>3193720022</t>
  </si>
  <si>
    <t>E-PL101-LL-01-22 LEGGINS LLANO AZUL PIEDRA T.12</t>
  </si>
  <si>
    <t>3193720024</t>
  </si>
  <si>
    <t>E-PL101-LL-01-22 LEGGINS LLANO AZUL PIEDRA T.16</t>
  </si>
  <si>
    <t>3193720028</t>
  </si>
  <si>
    <t>E-PL101-LL-01-22 LEGGINS LLANO FUCSIA T.16</t>
  </si>
  <si>
    <t>3193720029</t>
  </si>
  <si>
    <t>E-PL101-LL-01-22 LEGGINS LLANO GRIS CLARO T.10</t>
  </si>
  <si>
    <t>3193720032</t>
  </si>
  <si>
    <t>E-PL101-LL-01-22 LEGGINS LLANO GRIS CLARO T.16</t>
  </si>
  <si>
    <t>3193720033</t>
  </si>
  <si>
    <t>E-PL101-LL-01-22 LEGGINS LLANO GRIS OSCURO T.10</t>
  </si>
  <si>
    <t>3193720069</t>
  </si>
  <si>
    <t>CT-PLTM-22 LEGGINS MATERNO AZUL MARINO T.2EG</t>
  </si>
  <si>
    <t>MATERNO</t>
  </si>
  <si>
    <t>3193720071</t>
  </si>
  <si>
    <t>CT-PLTM-22 LEGGINS MATERNO GRIS OSCURO T.M</t>
  </si>
  <si>
    <t>3193720076</t>
  </si>
  <si>
    <t>CT-PLTM-22 LEGGINS MATERNO NEGRO T.M</t>
  </si>
  <si>
    <t>3193720078</t>
  </si>
  <si>
    <t>CT-PLTM-22 LEGGINS MATERNO NEGRO T.EG</t>
  </si>
  <si>
    <t>3193720079</t>
  </si>
  <si>
    <t>CT-PLTM-22 LEGGINS MATERNO NEGRO T.2EG</t>
  </si>
  <si>
    <t>3193720085</t>
  </si>
  <si>
    <t>CT-PLR-02-22 LEGGINS INFORMAL GRIS CLARO T.P</t>
  </si>
  <si>
    <t>INFORMAL</t>
  </si>
  <si>
    <t>3193720093</t>
  </si>
  <si>
    <t>CT-PLR-02-22 LEGGINS INFORMAL NEGRO T.P</t>
  </si>
  <si>
    <t>3193720094</t>
  </si>
  <si>
    <t>CT-PLR-02-22 LEGGINS INFORMAL NEGRO T.M</t>
  </si>
  <si>
    <t>3193720095</t>
  </si>
  <si>
    <t>CT-PLR-02-22 LEGGINS INFORMAL NEGRO T.G</t>
  </si>
  <si>
    <t>3193720096</t>
  </si>
  <si>
    <t>CT-PLR-02-22 LEGGINS INFORMAL NEGRO T.EG</t>
  </si>
  <si>
    <t>3193720101</t>
  </si>
  <si>
    <t>CT-PL-PLR-02-22 LEGGINS INFORMAL GRIS OSCURO T.14</t>
  </si>
  <si>
    <t>3193720102</t>
  </si>
  <si>
    <t>CT-PL-PLR-02-22 LEGGINS INFORMAL GRIS OSCURO T.16</t>
  </si>
  <si>
    <t>3193720104</t>
  </si>
  <si>
    <t>CT-PL-PLR-02-22 LEGGINS INFORMAL GRIS OSCURO T.20</t>
  </si>
  <si>
    <t>3193720105</t>
  </si>
  <si>
    <t>CT-PL-PLR-02-22 LEGGINS INFORMAL NEGRO T.14</t>
  </si>
  <si>
    <t>3193720106</t>
  </si>
  <si>
    <t>CT-PL-PLR-02-22 LEGGINS INFORMAL NEGRO T.16</t>
  </si>
  <si>
    <t>3193720107</t>
  </si>
  <si>
    <t>CT-PL-PLR-02-22 LEGGINS INFORMAL NEGRO T.18</t>
  </si>
  <si>
    <t>3193720108</t>
  </si>
  <si>
    <t>CT-PL-PLR-02-22 LEGGINS INFORMAL NEGRO T.20</t>
  </si>
  <si>
    <t>11/feb/2022-&gt;24/feb/2022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</si>
</sst>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/>
    <xf numFmtId="49" fontId="0" fillId="0" borderId="0" xfId="0" applyNumberFormat="1" applyProtection="1"/>
    <xf numFmtId="0" fontId="0" fillId="0" borderId="4" xfId="0" applyBorder="1" applyProtection="1"/>
    <xf numFmtId="0" fontId="0" fillId="0" borderId="8" xfId="0" applyBorder="1" applyProtection="1"/>
    <xf numFmtId="0" fontId="0" fillId="2" borderId="4" xfId="0" applyFill="1" applyBorder="1" applyProtection="1"/>
    <xf numFmtId="2" fontId="0" fillId="3" borderId="9" xfId="0" applyNumberFormat="1" applyFill="1" applyBorder="1" applyProtection="1"/>
    <xf numFmtId="0" fontId="1" fillId="0" borderId="10" xfId="0" applyFont="1" applyBorder="1" applyProtection="1"/>
    <xf numFmtId="0" fontId="1" fillId="0" borderId="11" xfId="0" applyFont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49" fontId="1" fillId="0" borderId="11" xfId="0" applyNumberFormat="1" applyFont="1" applyBorder="1" applyProtection="1"/>
    <xf numFmtId="0" fontId="1" fillId="0" borderId="4" xfId="0" applyFont="1" applyBorder="1" applyProtection="1"/>
    <xf numFmtId="0" fontId="1" fillId="0" borderId="8" xfId="0" applyFont="1" applyBorder="1" applyProtection="1"/>
    <xf numFmtId="0" fontId="1" fillId="0" borderId="9" xfId="0" applyFont="1" applyBorder="1" applyProtection="1"/>
    <xf numFmtId="0" fontId="0" fillId="0" borderId="13" xfId="0" applyBorder="1" applyProtection="1"/>
    <xf numFmtId="0" fontId="0" fillId="2" borderId="14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105"/>
  <sheetViews>
    <sheetView workbookViewId="0">
      <selection activeCell="K11" sqref="K11"/>
    </sheetView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 t="s">
        <v>490</v>
      </c>
    </row>
    <row r="3" spans="1:1" x14ac:dyDescent="0.25">
      <c r="A3" t="s">
        <v>491</v>
      </c>
    </row>
    <row r="4" spans="1:1" x14ac:dyDescent="0.25">
      <c r="A4" t="s">
        <v>492</v>
      </c>
    </row>
    <row r="5" spans="1:1" x14ac:dyDescent="0.25">
      <c r="A5" t="s">
        <v>493</v>
      </c>
    </row>
    <row r="6" spans="1:1" x14ac:dyDescent="0.25">
      <c r="A6" t="s">
        <v>494</v>
      </c>
    </row>
    <row r="7" spans="1:1" x14ac:dyDescent="0.25">
      <c r="A7" t="s">
        <v>495</v>
      </c>
    </row>
    <row r="8" spans="1:1" x14ac:dyDescent="0.25">
      <c r="A8" t="s">
        <v>42</v>
      </c>
    </row>
    <row r="9" spans="1:1" x14ac:dyDescent="0.25">
      <c r="A9" t="s">
        <v>496</v>
      </c>
    </row>
    <row r="10" spans="1:1" x14ac:dyDescent="0.25">
      <c r="A10" t="s">
        <v>497</v>
      </c>
    </row>
    <row r="11" spans="1:1" x14ac:dyDescent="0.25">
      <c r="A11" t="s">
        <v>498</v>
      </c>
    </row>
    <row r="12" spans="1:1" x14ac:dyDescent="0.25">
      <c r="A12" t="s">
        <v>499</v>
      </c>
    </row>
    <row r="13" spans="1:1" x14ac:dyDescent="0.25">
      <c r="A13" t="s">
        <v>43</v>
      </c>
    </row>
    <row r="14" spans="1:1" x14ac:dyDescent="0.25">
      <c r="A14" t="s">
        <v>44</v>
      </c>
    </row>
    <row r="15" spans="1:1" x14ac:dyDescent="0.25">
      <c r="A15" t="s">
        <v>45</v>
      </c>
    </row>
    <row r="16" spans="1:1" x14ac:dyDescent="0.25">
      <c r="A16" t="s">
        <v>46</v>
      </c>
    </row>
    <row r="17" spans="1:1" x14ac:dyDescent="0.25">
      <c r="A17" t="s">
        <v>47</v>
      </c>
    </row>
    <row r="18" spans="1:1" x14ac:dyDescent="0.25">
      <c r="A18" t="s">
        <v>500</v>
      </c>
    </row>
    <row r="19" spans="1:1" x14ac:dyDescent="0.25">
      <c r="A19" t="s">
        <v>323</v>
      </c>
    </row>
    <row r="20" spans="1:1" x14ac:dyDescent="0.25">
      <c r="A20" t="s">
        <v>48</v>
      </c>
    </row>
    <row r="21" spans="1:1" x14ac:dyDescent="0.25">
      <c r="A21" t="s">
        <v>49</v>
      </c>
    </row>
    <row r="22" spans="1:1" x14ac:dyDescent="0.25">
      <c r="A22" t="s">
        <v>50</v>
      </c>
    </row>
    <row r="23" spans="1:1" x14ac:dyDescent="0.25">
      <c r="A23" t="s">
        <v>350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501</v>
      </c>
    </row>
    <row r="31" spans="1:1" x14ac:dyDescent="0.25">
      <c r="A31" t="s">
        <v>502</v>
      </c>
    </row>
    <row r="32" spans="1:1" x14ac:dyDescent="0.25">
      <c r="A32" t="s">
        <v>503</v>
      </c>
    </row>
    <row r="33" spans="1:1" x14ac:dyDescent="0.25">
      <c r="A33" t="s">
        <v>504</v>
      </c>
    </row>
    <row r="34" spans="1:1" x14ac:dyDescent="0.25">
      <c r="A34" t="s">
        <v>505</v>
      </c>
    </row>
    <row r="35" spans="1:1" x14ac:dyDescent="0.25">
      <c r="A35" t="s">
        <v>506</v>
      </c>
    </row>
    <row r="36" spans="1:1" x14ac:dyDescent="0.25">
      <c r="A36" t="s">
        <v>507</v>
      </c>
    </row>
    <row r="37" spans="1:1" x14ac:dyDescent="0.25">
      <c r="A37" t="s">
        <v>508</v>
      </c>
    </row>
    <row r="38" spans="1:1" x14ac:dyDescent="0.25">
      <c r="A38" t="s">
        <v>509</v>
      </c>
    </row>
    <row r="39" spans="1:1" x14ac:dyDescent="0.25">
      <c r="A39" t="s">
        <v>510</v>
      </c>
    </row>
    <row r="40" spans="1:1" x14ac:dyDescent="0.25">
      <c r="A40" t="s">
        <v>511</v>
      </c>
    </row>
    <row r="41" spans="1:1" x14ac:dyDescent="0.25">
      <c r="A41" t="s">
        <v>512</v>
      </c>
    </row>
    <row r="42" spans="1:1" x14ac:dyDescent="0.25">
      <c r="A42" t="s">
        <v>513</v>
      </c>
    </row>
    <row r="43" spans="1:1" x14ac:dyDescent="0.25">
      <c r="A43" t="s">
        <v>143</v>
      </c>
    </row>
    <row r="44" spans="1:1" x14ac:dyDescent="0.25">
      <c r="A44" t="s">
        <v>57</v>
      </c>
    </row>
    <row r="45" spans="1:1" x14ac:dyDescent="0.25">
      <c r="A45" t="s">
        <v>94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514</v>
      </c>
    </row>
    <row r="52" spans="1:1" x14ac:dyDescent="0.25">
      <c r="A52" t="s">
        <v>63</v>
      </c>
    </row>
    <row r="53" spans="1:1" x14ac:dyDescent="0.25">
      <c r="A53" t="s">
        <v>64</v>
      </c>
    </row>
    <row r="54" spans="1:1" x14ac:dyDescent="0.25">
      <c r="A54" t="s">
        <v>515</v>
      </c>
    </row>
    <row r="55" spans="1:1" x14ac:dyDescent="0.25">
      <c r="A55" t="s">
        <v>516</v>
      </c>
    </row>
    <row r="56" spans="1:1" x14ac:dyDescent="0.25">
      <c r="A56" t="s">
        <v>517</v>
      </c>
    </row>
    <row r="57" spans="1:1" x14ac:dyDescent="0.25">
      <c r="A57" t="s">
        <v>518</v>
      </c>
    </row>
    <row r="58" spans="1:1" x14ac:dyDescent="0.25">
      <c r="A58" t="s">
        <v>519</v>
      </c>
    </row>
    <row r="59" spans="1:1" x14ac:dyDescent="0.25">
      <c r="A59" t="s">
        <v>520</v>
      </c>
    </row>
    <row r="60" spans="1:1" x14ac:dyDescent="0.25">
      <c r="A60" t="s">
        <v>521</v>
      </c>
    </row>
    <row r="61" spans="1:1" x14ac:dyDescent="0.25">
      <c r="A61" t="s">
        <v>522</v>
      </c>
    </row>
    <row r="62" spans="1:1" x14ac:dyDescent="0.25">
      <c r="A62" t="s">
        <v>523</v>
      </c>
    </row>
    <row r="63" spans="1:1" x14ac:dyDescent="0.25">
      <c r="A63" t="s">
        <v>524</v>
      </c>
    </row>
    <row r="64" spans="1:1" x14ac:dyDescent="0.25">
      <c r="A64" t="s">
        <v>525</v>
      </c>
    </row>
    <row r="65" spans="1:1" x14ac:dyDescent="0.25">
      <c r="A65" t="s">
        <v>526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527</v>
      </c>
    </row>
    <row r="92" spans="1:1" x14ac:dyDescent="0.25">
      <c r="A92" t="s">
        <v>528</v>
      </c>
    </row>
    <row r="93" spans="1:1" x14ac:dyDescent="0.25">
      <c r="A93" t="s">
        <v>529</v>
      </c>
    </row>
    <row r="94" spans="1:1" x14ac:dyDescent="0.25">
      <c r="A94" t="s">
        <v>530</v>
      </c>
    </row>
    <row r="95" spans="1:1" x14ac:dyDescent="0.25">
      <c r="A95" t="s">
        <v>531</v>
      </c>
    </row>
    <row r="96" spans="1:1" x14ac:dyDescent="0.25">
      <c r="A96" t="s">
        <v>532</v>
      </c>
    </row>
    <row r="97" spans="1:1" x14ac:dyDescent="0.25">
      <c r="A97" t="s">
        <v>533</v>
      </c>
    </row>
    <row r="98" spans="1:1" x14ac:dyDescent="0.25">
      <c r="A98" t="s">
        <v>534</v>
      </c>
    </row>
    <row r="99" spans="1:1" x14ac:dyDescent="0.25">
      <c r="A99" t="s">
        <v>535</v>
      </c>
    </row>
    <row r="100" spans="1:1" x14ac:dyDescent="0.25">
      <c r="A100" t="s">
        <v>536</v>
      </c>
    </row>
    <row r="101" spans="1:1" x14ac:dyDescent="0.25">
      <c r="A101" t="s">
        <v>537</v>
      </c>
    </row>
    <row r="102" spans="1:1" x14ac:dyDescent="0.25">
      <c r="A102" t="s">
        <v>90</v>
      </c>
    </row>
    <row r="103" spans="1:1" x14ac:dyDescent="0.25">
      <c r="A103" t="s">
        <v>91</v>
      </c>
    </row>
    <row r="104" spans="1:1" x14ac:dyDescent="0.25">
      <c r="A104" t="s">
        <v>538</v>
      </c>
    </row>
    <row r="105" spans="1:1" x14ac:dyDescent="0.25">
      <c r="A105" t="s">
        <v>539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415"/>
  <sheetViews>
    <sheetView workbookViewId="0">
      <selection activeCell="D11" sqref="D11"/>
    </sheetView>
  </sheetViews>
  <sheetFormatPr baseColWidth="10"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58</v>
      </c>
      <c r="B2" t="s">
        <v>540</v>
      </c>
      <c r="C2" t="s">
        <v>541</v>
      </c>
      <c r="D2" t="s">
        <v>94</v>
      </c>
      <c r="E2" t="s">
        <v>28</v>
      </c>
      <c r="F2" t="s">
        <v>21</v>
      </c>
      <c r="G2" t="s">
        <v>14</v>
      </c>
      <c r="H2" t="s">
        <v>14</v>
      </c>
      <c r="I2" t="s">
        <v>30</v>
      </c>
    </row>
    <row r="3" spans="1:9" x14ac:dyDescent="0.25">
      <c r="A3" t="s">
        <v>58</v>
      </c>
      <c r="B3" t="s">
        <v>92</v>
      </c>
      <c r="C3" t="s">
        <v>93</v>
      </c>
      <c r="D3" t="s">
        <v>94</v>
      </c>
      <c r="E3" t="s">
        <v>28</v>
      </c>
      <c r="F3" t="s">
        <v>21</v>
      </c>
      <c r="G3" t="s">
        <v>14</v>
      </c>
      <c r="H3" t="s">
        <v>14</v>
      </c>
      <c r="I3" t="s">
        <v>30</v>
      </c>
    </row>
    <row r="4" spans="1:9" x14ac:dyDescent="0.25">
      <c r="A4" t="s">
        <v>58</v>
      </c>
      <c r="B4" t="s">
        <v>95</v>
      </c>
      <c r="C4" t="s">
        <v>96</v>
      </c>
      <c r="D4" t="s">
        <v>94</v>
      </c>
      <c r="E4" t="s">
        <v>28</v>
      </c>
      <c r="F4" t="s">
        <v>21</v>
      </c>
      <c r="G4" t="s">
        <v>14</v>
      </c>
      <c r="H4" t="s">
        <v>14</v>
      </c>
      <c r="I4" t="s">
        <v>30</v>
      </c>
    </row>
    <row r="5" spans="1:9" x14ac:dyDescent="0.25">
      <c r="A5" t="s">
        <v>58</v>
      </c>
      <c r="B5" t="s">
        <v>97</v>
      </c>
      <c r="C5" t="s">
        <v>98</v>
      </c>
      <c r="D5" t="s">
        <v>94</v>
      </c>
      <c r="E5" t="s">
        <v>28</v>
      </c>
      <c r="F5" t="s">
        <v>21</v>
      </c>
      <c r="G5" t="s">
        <v>14</v>
      </c>
      <c r="H5" t="s">
        <v>14</v>
      </c>
      <c r="I5" t="s">
        <v>30</v>
      </c>
    </row>
    <row r="6" spans="1:9" x14ac:dyDescent="0.25">
      <c r="A6" t="s">
        <v>59</v>
      </c>
      <c r="B6" t="s">
        <v>99</v>
      </c>
      <c r="C6" t="s">
        <v>100</v>
      </c>
      <c r="D6" t="s">
        <v>101</v>
      </c>
      <c r="E6" t="s">
        <v>28</v>
      </c>
      <c r="F6" t="s">
        <v>21</v>
      </c>
      <c r="G6" t="s">
        <v>14</v>
      </c>
      <c r="H6" t="s">
        <v>14</v>
      </c>
      <c r="I6" t="s">
        <v>34</v>
      </c>
    </row>
    <row r="7" spans="1:9" x14ac:dyDescent="0.25">
      <c r="A7" t="s">
        <v>59</v>
      </c>
      <c r="B7" t="s">
        <v>102</v>
      </c>
      <c r="C7" t="s">
        <v>103</v>
      </c>
      <c r="D7" t="s">
        <v>101</v>
      </c>
      <c r="E7" t="s">
        <v>28</v>
      </c>
      <c r="F7" t="s">
        <v>21</v>
      </c>
      <c r="G7" t="s">
        <v>14</v>
      </c>
      <c r="H7" t="s">
        <v>14</v>
      </c>
      <c r="I7" t="s">
        <v>34</v>
      </c>
    </row>
    <row r="8" spans="1:9" x14ac:dyDescent="0.25">
      <c r="A8" t="s">
        <v>59</v>
      </c>
      <c r="B8" t="s">
        <v>542</v>
      </c>
      <c r="C8" t="s">
        <v>543</v>
      </c>
      <c r="D8" t="s">
        <v>101</v>
      </c>
      <c r="E8" t="s">
        <v>28</v>
      </c>
      <c r="F8" t="s">
        <v>21</v>
      </c>
      <c r="G8" t="s">
        <v>14</v>
      </c>
      <c r="H8" t="s">
        <v>14</v>
      </c>
      <c r="I8" t="s">
        <v>34</v>
      </c>
    </row>
    <row r="9" spans="1:9" x14ac:dyDescent="0.25">
      <c r="A9" t="s">
        <v>60</v>
      </c>
      <c r="B9" t="s">
        <v>104</v>
      </c>
      <c r="C9" t="s">
        <v>105</v>
      </c>
      <c r="D9" t="s">
        <v>106</v>
      </c>
      <c r="E9" t="s">
        <v>28</v>
      </c>
      <c r="F9" t="s">
        <v>21</v>
      </c>
      <c r="G9" t="s">
        <v>14</v>
      </c>
      <c r="H9" t="s">
        <v>14</v>
      </c>
      <c r="I9" t="s">
        <v>24</v>
      </c>
    </row>
    <row r="10" spans="1:9" x14ac:dyDescent="0.25">
      <c r="A10" t="s">
        <v>60</v>
      </c>
      <c r="B10" t="s">
        <v>544</v>
      </c>
      <c r="C10" t="s">
        <v>545</v>
      </c>
      <c r="D10" t="s">
        <v>106</v>
      </c>
      <c r="E10" t="s">
        <v>28</v>
      </c>
      <c r="F10" t="s">
        <v>21</v>
      </c>
      <c r="G10" t="s">
        <v>14</v>
      </c>
      <c r="H10" t="s">
        <v>14</v>
      </c>
      <c r="I10" t="s">
        <v>24</v>
      </c>
    </row>
    <row r="11" spans="1:9" x14ac:dyDescent="0.25">
      <c r="A11" t="s">
        <v>60</v>
      </c>
      <c r="B11" t="s">
        <v>107</v>
      </c>
      <c r="C11" t="s">
        <v>108</v>
      </c>
      <c r="D11" t="s">
        <v>106</v>
      </c>
      <c r="E11" t="s">
        <v>28</v>
      </c>
      <c r="F11" t="s">
        <v>21</v>
      </c>
      <c r="G11" t="s">
        <v>14</v>
      </c>
      <c r="H11" t="s">
        <v>14</v>
      </c>
      <c r="I11" t="s">
        <v>24</v>
      </c>
    </row>
    <row r="12" spans="1:9" x14ac:dyDescent="0.25">
      <c r="A12" t="s">
        <v>60</v>
      </c>
      <c r="B12" t="s">
        <v>546</v>
      </c>
      <c r="C12" t="s">
        <v>547</v>
      </c>
      <c r="D12" t="s">
        <v>106</v>
      </c>
      <c r="E12" t="s">
        <v>28</v>
      </c>
      <c r="F12" t="s">
        <v>21</v>
      </c>
      <c r="G12" t="s">
        <v>14</v>
      </c>
      <c r="H12" t="s">
        <v>14</v>
      </c>
      <c r="I12" t="s">
        <v>24</v>
      </c>
    </row>
    <row r="13" spans="1:9" x14ac:dyDescent="0.25">
      <c r="A13" t="s">
        <v>61</v>
      </c>
      <c r="B13" t="s">
        <v>109</v>
      </c>
      <c r="C13" t="s">
        <v>110</v>
      </c>
      <c r="D13" t="s">
        <v>111</v>
      </c>
      <c r="E13" t="s">
        <v>28</v>
      </c>
      <c r="F13" t="s">
        <v>21</v>
      </c>
      <c r="G13" t="s">
        <v>14</v>
      </c>
      <c r="H13" t="s">
        <v>14</v>
      </c>
      <c r="I13" t="s">
        <v>25</v>
      </c>
    </row>
    <row r="14" spans="1:9" x14ac:dyDescent="0.25">
      <c r="A14" t="s">
        <v>61</v>
      </c>
      <c r="B14" t="s">
        <v>112</v>
      </c>
      <c r="C14" t="s">
        <v>113</v>
      </c>
      <c r="D14" t="s">
        <v>111</v>
      </c>
      <c r="E14" t="s">
        <v>28</v>
      </c>
      <c r="F14" t="s">
        <v>21</v>
      </c>
      <c r="G14" t="s">
        <v>14</v>
      </c>
      <c r="H14" t="s">
        <v>14</v>
      </c>
      <c r="I14" t="s">
        <v>25</v>
      </c>
    </row>
    <row r="15" spans="1:9" x14ac:dyDescent="0.25">
      <c r="A15" t="s">
        <v>61</v>
      </c>
      <c r="B15" t="s">
        <v>114</v>
      </c>
      <c r="C15" t="s">
        <v>115</v>
      </c>
      <c r="D15" t="s">
        <v>111</v>
      </c>
      <c r="E15" t="s">
        <v>28</v>
      </c>
      <c r="F15" t="s">
        <v>21</v>
      </c>
      <c r="G15" t="s">
        <v>14</v>
      </c>
      <c r="H15" t="s">
        <v>14</v>
      </c>
      <c r="I15" t="s">
        <v>25</v>
      </c>
    </row>
    <row r="16" spans="1:9" x14ac:dyDescent="0.25">
      <c r="A16" t="s">
        <v>61</v>
      </c>
      <c r="B16" t="s">
        <v>548</v>
      </c>
      <c r="C16" t="s">
        <v>549</v>
      </c>
      <c r="D16" t="s">
        <v>111</v>
      </c>
      <c r="E16" t="s">
        <v>28</v>
      </c>
      <c r="F16" t="s">
        <v>21</v>
      </c>
      <c r="G16" t="s">
        <v>14</v>
      </c>
      <c r="H16" t="s">
        <v>14</v>
      </c>
      <c r="I16" t="s">
        <v>25</v>
      </c>
    </row>
    <row r="17" spans="1:9" x14ac:dyDescent="0.25">
      <c r="A17" t="s">
        <v>62</v>
      </c>
      <c r="B17" t="s">
        <v>116</v>
      </c>
      <c r="C17" t="s">
        <v>117</v>
      </c>
      <c r="D17" t="s">
        <v>118</v>
      </c>
      <c r="E17" t="s">
        <v>28</v>
      </c>
      <c r="F17" t="s">
        <v>21</v>
      </c>
      <c r="G17" t="s">
        <v>14</v>
      </c>
      <c r="H17" t="s">
        <v>14</v>
      </c>
      <c r="I17" t="s">
        <v>32</v>
      </c>
    </row>
    <row r="18" spans="1:9" x14ac:dyDescent="0.25">
      <c r="A18" t="s">
        <v>62</v>
      </c>
      <c r="B18" t="s">
        <v>119</v>
      </c>
      <c r="C18" t="s">
        <v>120</v>
      </c>
      <c r="D18" t="s">
        <v>118</v>
      </c>
      <c r="E18" t="s">
        <v>28</v>
      </c>
      <c r="F18" t="s">
        <v>21</v>
      </c>
      <c r="G18" t="s">
        <v>14</v>
      </c>
      <c r="H18" t="s">
        <v>14</v>
      </c>
      <c r="I18" t="s">
        <v>32</v>
      </c>
    </row>
    <row r="19" spans="1:9" x14ac:dyDescent="0.25">
      <c r="A19" t="s">
        <v>62</v>
      </c>
      <c r="B19" t="s">
        <v>121</v>
      </c>
      <c r="C19" t="s">
        <v>122</v>
      </c>
      <c r="D19" t="s">
        <v>118</v>
      </c>
      <c r="E19" t="s">
        <v>28</v>
      </c>
      <c r="F19" t="s">
        <v>21</v>
      </c>
      <c r="G19" t="s">
        <v>14</v>
      </c>
      <c r="H19" t="s">
        <v>14</v>
      </c>
      <c r="I19" t="s">
        <v>32</v>
      </c>
    </row>
    <row r="20" spans="1:9" x14ac:dyDescent="0.25">
      <c r="A20" t="s">
        <v>62</v>
      </c>
      <c r="B20" t="s">
        <v>123</v>
      </c>
      <c r="C20" t="s">
        <v>124</v>
      </c>
      <c r="D20" t="s">
        <v>118</v>
      </c>
      <c r="E20" t="s">
        <v>28</v>
      </c>
      <c r="F20" t="s">
        <v>21</v>
      </c>
      <c r="G20" t="s">
        <v>14</v>
      </c>
      <c r="H20" t="s">
        <v>14</v>
      </c>
      <c r="I20" t="s">
        <v>32</v>
      </c>
    </row>
    <row r="21" spans="1:9" x14ac:dyDescent="0.25">
      <c r="A21" t="s">
        <v>514</v>
      </c>
      <c r="B21" t="s">
        <v>550</v>
      </c>
      <c r="C21" t="s">
        <v>551</v>
      </c>
      <c r="D21" t="s">
        <v>552</v>
      </c>
      <c r="E21" t="s">
        <v>28</v>
      </c>
      <c r="F21" t="s">
        <v>21</v>
      </c>
      <c r="G21" t="s">
        <v>14</v>
      </c>
      <c r="H21" t="s">
        <v>14</v>
      </c>
      <c r="I21" t="s">
        <v>22</v>
      </c>
    </row>
    <row r="22" spans="1:9" x14ac:dyDescent="0.25">
      <c r="A22" t="s">
        <v>514</v>
      </c>
      <c r="B22" t="s">
        <v>553</v>
      </c>
      <c r="C22" t="s">
        <v>554</v>
      </c>
      <c r="D22" t="s">
        <v>552</v>
      </c>
      <c r="E22" t="s">
        <v>28</v>
      </c>
      <c r="F22" t="s">
        <v>21</v>
      </c>
      <c r="G22" t="s">
        <v>14</v>
      </c>
      <c r="H22" t="s">
        <v>14</v>
      </c>
      <c r="I22" t="s">
        <v>22</v>
      </c>
    </row>
    <row r="23" spans="1:9" x14ac:dyDescent="0.25">
      <c r="A23" t="s">
        <v>514</v>
      </c>
      <c r="B23" t="s">
        <v>555</v>
      </c>
      <c r="C23" t="s">
        <v>556</v>
      </c>
      <c r="D23" t="s">
        <v>552</v>
      </c>
      <c r="E23" t="s">
        <v>28</v>
      </c>
      <c r="F23" t="s">
        <v>21</v>
      </c>
      <c r="G23" t="s">
        <v>14</v>
      </c>
      <c r="H23" t="s">
        <v>14</v>
      </c>
      <c r="I23" t="s">
        <v>22</v>
      </c>
    </row>
    <row r="24" spans="1:9" x14ac:dyDescent="0.25">
      <c r="A24" t="s">
        <v>63</v>
      </c>
      <c r="B24" t="s">
        <v>557</v>
      </c>
      <c r="C24" t="s">
        <v>558</v>
      </c>
      <c r="D24" t="s">
        <v>127</v>
      </c>
      <c r="E24" t="s">
        <v>28</v>
      </c>
      <c r="F24" t="s">
        <v>21</v>
      </c>
      <c r="G24" t="s">
        <v>14</v>
      </c>
      <c r="H24" t="s">
        <v>14</v>
      </c>
      <c r="I24" t="s">
        <v>16</v>
      </c>
    </row>
    <row r="25" spans="1:9" x14ac:dyDescent="0.25">
      <c r="A25" t="s">
        <v>63</v>
      </c>
      <c r="B25" t="s">
        <v>125</v>
      </c>
      <c r="C25" t="s">
        <v>126</v>
      </c>
      <c r="D25" t="s">
        <v>127</v>
      </c>
      <c r="E25" t="s">
        <v>28</v>
      </c>
      <c r="F25" t="s">
        <v>21</v>
      </c>
      <c r="G25" t="s">
        <v>14</v>
      </c>
      <c r="H25" t="s">
        <v>14</v>
      </c>
      <c r="I25" t="s">
        <v>16</v>
      </c>
    </row>
    <row r="26" spans="1:9" x14ac:dyDescent="0.25">
      <c r="A26" t="s">
        <v>63</v>
      </c>
      <c r="B26" t="s">
        <v>128</v>
      </c>
      <c r="C26" t="s">
        <v>129</v>
      </c>
      <c r="D26" t="s">
        <v>127</v>
      </c>
      <c r="E26" t="s">
        <v>28</v>
      </c>
      <c r="F26" t="s">
        <v>21</v>
      </c>
      <c r="G26" t="s">
        <v>14</v>
      </c>
      <c r="H26" t="s">
        <v>14</v>
      </c>
      <c r="I26" t="s">
        <v>16</v>
      </c>
    </row>
    <row r="27" spans="1:9" x14ac:dyDescent="0.25">
      <c r="A27" t="s">
        <v>63</v>
      </c>
      <c r="B27" t="s">
        <v>130</v>
      </c>
      <c r="C27" t="s">
        <v>131</v>
      </c>
      <c r="D27" t="s">
        <v>127</v>
      </c>
      <c r="E27" t="s">
        <v>28</v>
      </c>
      <c r="F27" t="s">
        <v>21</v>
      </c>
      <c r="G27" t="s">
        <v>14</v>
      </c>
      <c r="H27" t="s">
        <v>14</v>
      </c>
      <c r="I27" t="s">
        <v>16</v>
      </c>
    </row>
    <row r="28" spans="1:9" x14ac:dyDescent="0.25">
      <c r="A28" t="s">
        <v>64</v>
      </c>
      <c r="B28" t="s">
        <v>132</v>
      </c>
      <c r="C28" t="s">
        <v>133</v>
      </c>
      <c r="D28" t="s">
        <v>134</v>
      </c>
      <c r="E28" t="s">
        <v>28</v>
      </c>
      <c r="F28" t="s">
        <v>21</v>
      </c>
      <c r="G28" t="s">
        <v>14</v>
      </c>
      <c r="H28" t="s">
        <v>14</v>
      </c>
      <c r="I28" t="s">
        <v>30</v>
      </c>
    </row>
    <row r="29" spans="1:9" x14ac:dyDescent="0.25">
      <c r="A29" t="s">
        <v>64</v>
      </c>
      <c r="B29" t="s">
        <v>135</v>
      </c>
      <c r="C29" t="s">
        <v>136</v>
      </c>
      <c r="D29" t="s">
        <v>134</v>
      </c>
      <c r="E29" t="s">
        <v>28</v>
      </c>
      <c r="F29" t="s">
        <v>21</v>
      </c>
      <c r="G29" t="s">
        <v>14</v>
      </c>
      <c r="H29" t="s">
        <v>14</v>
      </c>
      <c r="I29" t="s">
        <v>30</v>
      </c>
    </row>
    <row r="30" spans="1:9" x14ac:dyDescent="0.25">
      <c r="A30" t="s">
        <v>64</v>
      </c>
      <c r="B30" t="s">
        <v>137</v>
      </c>
      <c r="C30" t="s">
        <v>138</v>
      </c>
      <c r="D30" t="s">
        <v>134</v>
      </c>
      <c r="E30" t="s">
        <v>28</v>
      </c>
      <c r="F30" t="s">
        <v>21</v>
      </c>
      <c r="G30" t="s">
        <v>14</v>
      </c>
      <c r="H30" t="s">
        <v>14</v>
      </c>
      <c r="I30" t="s">
        <v>30</v>
      </c>
    </row>
    <row r="31" spans="1:9" x14ac:dyDescent="0.25">
      <c r="A31" t="s">
        <v>64</v>
      </c>
      <c r="B31" t="s">
        <v>139</v>
      </c>
      <c r="C31" t="s">
        <v>140</v>
      </c>
      <c r="D31" t="s">
        <v>134</v>
      </c>
      <c r="E31" t="s">
        <v>28</v>
      </c>
      <c r="F31" t="s">
        <v>21</v>
      </c>
      <c r="G31" t="s">
        <v>14</v>
      </c>
      <c r="H31" t="s">
        <v>14</v>
      </c>
      <c r="I31" t="s">
        <v>30</v>
      </c>
    </row>
    <row r="32" spans="1:9" x14ac:dyDescent="0.25">
      <c r="A32" t="s">
        <v>57</v>
      </c>
      <c r="B32" t="s">
        <v>559</v>
      </c>
      <c r="C32" t="s">
        <v>560</v>
      </c>
      <c r="D32" t="s">
        <v>143</v>
      </c>
      <c r="E32" t="s">
        <v>28</v>
      </c>
      <c r="F32" t="s">
        <v>21</v>
      </c>
      <c r="G32" t="s">
        <v>14</v>
      </c>
      <c r="H32" t="s">
        <v>14</v>
      </c>
      <c r="I32" t="s">
        <v>22</v>
      </c>
    </row>
    <row r="33" spans="1:9" x14ac:dyDescent="0.25">
      <c r="A33" t="s">
        <v>57</v>
      </c>
      <c r="B33" t="s">
        <v>561</v>
      </c>
      <c r="C33" t="s">
        <v>562</v>
      </c>
      <c r="D33" t="s">
        <v>143</v>
      </c>
      <c r="E33" t="s">
        <v>28</v>
      </c>
      <c r="F33" t="s">
        <v>21</v>
      </c>
      <c r="G33" t="s">
        <v>14</v>
      </c>
      <c r="H33" t="s">
        <v>14</v>
      </c>
      <c r="I33" t="s">
        <v>22</v>
      </c>
    </row>
    <row r="34" spans="1:9" x14ac:dyDescent="0.25">
      <c r="A34" t="s">
        <v>57</v>
      </c>
      <c r="B34" t="s">
        <v>141</v>
      </c>
      <c r="C34" t="s">
        <v>142</v>
      </c>
      <c r="D34" t="s">
        <v>143</v>
      </c>
      <c r="E34" t="s">
        <v>28</v>
      </c>
      <c r="F34" t="s">
        <v>21</v>
      </c>
      <c r="G34" t="s">
        <v>14</v>
      </c>
      <c r="H34" t="s">
        <v>14</v>
      </c>
      <c r="I34" t="s">
        <v>22</v>
      </c>
    </row>
    <row r="35" spans="1:9" x14ac:dyDescent="0.25">
      <c r="A35" t="s">
        <v>57</v>
      </c>
      <c r="B35" t="s">
        <v>144</v>
      </c>
      <c r="C35" t="s">
        <v>145</v>
      </c>
      <c r="D35" t="s">
        <v>143</v>
      </c>
      <c r="E35" t="s">
        <v>28</v>
      </c>
      <c r="F35" t="s">
        <v>21</v>
      </c>
      <c r="G35" t="s">
        <v>14</v>
      </c>
      <c r="H35" t="s">
        <v>14</v>
      </c>
      <c r="I35" t="s">
        <v>22</v>
      </c>
    </row>
    <row r="36" spans="1:9" x14ac:dyDescent="0.25">
      <c r="A36" t="s">
        <v>57</v>
      </c>
      <c r="B36" t="s">
        <v>146</v>
      </c>
      <c r="C36" t="s">
        <v>147</v>
      </c>
      <c r="D36" t="s">
        <v>143</v>
      </c>
      <c r="E36" t="s">
        <v>28</v>
      </c>
      <c r="F36" t="s">
        <v>21</v>
      </c>
      <c r="G36" t="s">
        <v>14</v>
      </c>
      <c r="H36" t="s">
        <v>14</v>
      </c>
      <c r="I36" t="s">
        <v>32</v>
      </c>
    </row>
    <row r="37" spans="1:9" x14ac:dyDescent="0.25">
      <c r="A37" t="s">
        <v>57</v>
      </c>
      <c r="B37" t="s">
        <v>563</v>
      </c>
      <c r="C37" t="s">
        <v>564</v>
      </c>
      <c r="D37" t="s">
        <v>143</v>
      </c>
      <c r="E37" t="s">
        <v>28</v>
      </c>
      <c r="F37" t="s">
        <v>21</v>
      </c>
      <c r="G37" t="s">
        <v>14</v>
      </c>
      <c r="H37" t="s">
        <v>14</v>
      </c>
      <c r="I37" t="s">
        <v>32</v>
      </c>
    </row>
    <row r="38" spans="1:9" x14ac:dyDescent="0.25">
      <c r="A38" t="s">
        <v>57</v>
      </c>
      <c r="B38" t="s">
        <v>148</v>
      </c>
      <c r="C38" t="s">
        <v>149</v>
      </c>
      <c r="D38" t="s">
        <v>143</v>
      </c>
      <c r="E38" t="s">
        <v>28</v>
      </c>
      <c r="F38" t="s">
        <v>21</v>
      </c>
      <c r="G38" t="s">
        <v>14</v>
      </c>
      <c r="H38" t="s">
        <v>14</v>
      </c>
      <c r="I38" t="s">
        <v>32</v>
      </c>
    </row>
    <row r="39" spans="1:9" x14ac:dyDescent="0.25">
      <c r="A39" t="s">
        <v>57</v>
      </c>
      <c r="B39" t="s">
        <v>565</v>
      </c>
      <c r="C39" t="s">
        <v>566</v>
      </c>
      <c r="D39" t="s">
        <v>143</v>
      </c>
      <c r="E39" t="s">
        <v>28</v>
      </c>
      <c r="F39" t="s">
        <v>21</v>
      </c>
      <c r="G39" t="s">
        <v>14</v>
      </c>
      <c r="H39" t="s">
        <v>14</v>
      </c>
      <c r="I39" t="s">
        <v>32</v>
      </c>
    </row>
    <row r="40" spans="1:9" x14ac:dyDescent="0.25">
      <c r="A40" t="s">
        <v>57</v>
      </c>
      <c r="B40" t="s">
        <v>567</v>
      </c>
      <c r="C40" t="s">
        <v>568</v>
      </c>
      <c r="D40" t="s">
        <v>143</v>
      </c>
      <c r="E40" t="s">
        <v>28</v>
      </c>
      <c r="F40" t="s">
        <v>21</v>
      </c>
      <c r="G40" t="s">
        <v>14</v>
      </c>
      <c r="H40" t="s">
        <v>14</v>
      </c>
      <c r="I40" t="s">
        <v>15</v>
      </c>
    </row>
    <row r="41" spans="1:9" x14ac:dyDescent="0.25">
      <c r="A41" t="s">
        <v>57</v>
      </c>
      <c r="B41" t="s">
        <v>150</v>
      </c>
      <c r="C41" t="s">
        <v>151</v>
      </c>
      <c r="D41" t="s">
        <v>143</v>
      </c>
      <c r="E41" t="s">
        <v>28</v>
      </c>
      <c r="F41" t="s">
        <v>21</v>
      </c>
      <c r="G41" t="s">
        <v>14</v>
      </c>
      <c r="H41" t="s">
        <v>14</v>
      </c>
      <c r="I41" t="s">
        <v>15</v>
      </c>
    </row>
    <row r="42" spans="1:9" x14ac:dyDescent="0.25">
      <c r="A42" t="s">
        <v>57</v>
      </c>
      <c r="B42" t="s">
        <v>152</v>
      </c>
      <c r="C42" t="s">
        <v>153</v>
      </c>
      <c r="D42" t="s">
        <v>143</v>
      </c>
      <c r="E42" t="s">
        <v>28</v>
      </c>
      <c r="F42" t="s">
        <v>21</v>
      </c>
      <c r="G42" t="s">
        <v>14</v>
      </c>
      <c r="H42" t="s">
        <v>14</v>
      </c>
      <c r="I42" t="s">
        <v>15</v>
      </c>
    </row>
    <row r="43" spans="1:9" x14ac:dyDescent="0.25">
      <c r="A43" t="s">
        <v>57</v>
      </c>
      <c r="B43" t="s">
        <v>569</v>
      </c>
      <c r="C43" t="s">
        <v>570</v>
      </c>
      <c r="D43" t="s">
        <v>143</v>
      </c>
      <c r="E43" t="s">
        <v>28</v>
      </c>
      <c r="F43" t="s">
        <v>21</v>
      </c>
      <c r="G43" t="s">
        <v>14</v>
      </c>
      <c r="H43" t="s">
        <v>14</v>
      </c>
      <c r="I43" t="s">
        <v>15</v>
      </c>
    </row>
    <row r="44" spans="1:9" x14ac:dyDescent="0.25">
      <c r="A44" t="s">
        <v>57</v>
      </c>
      <c r="B44" t="s">
        <v>154</v>
      </c>
      <c r="C44" t="s">
        <v>155</v>
      </c>
      <c r="D44" t="s">
        <v>143</v>
      </c>
      <c r="E44" t="s">
        <v>28</v>
      </c>
      <c r="F44" t="s">
        <v>21</v>
      </c>
      <c r="G44" t="s">
        <v>14</v>
      </c>
      <c r="H44" t="s">
        <v>14</v>
      </c>
      <c r="I44" t="s">
        <v>23</v>
      </c>
    </row>
    <row r="45" spans="1:9" x14ac:dyDescent="0.25">
      <c r="A45" t="s">
        <v>57</v>
      </c>
      <c r="B45" t="s">
        <v>156</v>
      </c>
      <c r="C45" t="s">
        <v>157</v>
      </c>
      <c r="D45" t="s">
        <v>143</v>
      </c>
      <c r="E45" t="s">
        <v>28</v>
      </c>
      <c r="F45" t="s">
        <v>21</v>
      </c>
      <c r="G45" t="s">
        <v>14</v>
      </c>
      <c r="H45" t="s">
        <v>14</v>
      </c>
      <c r="I45" t="s">
        <v>23</v>
      </c>
    </row>
    <row r="46" spans="1:9" x14ac:dyDescent="0.25">
      <c r="A46" t="s">
        <v>57</v>
      </c>
      <c r="B46" t="s">
        <v>158</v>
      </c>
      <c r="C46" t="s">
        <v>159</v>
      </c>
      <c r="D46" t="s">
        <v>143</v>
      </c>
      <c r="E46" t="s">
        <v>28</v>
      </c>
      <c r="F46" t="s">
        <v>21</v>
      </c>
      <c r="G46" t="s">
        <v>14</v>
      </c>
      <c r="H46" t="s">
        <v>14</v>
      </c>
      <c r="I46" t="s">
        <v>23</v>
      </c>
    </row>
    <row r="47" spans="1:9" x14ac:dyDescent="0.25">
      <c r="A47" t="s">
        <v>57</v>
      </c>
      <c r="B47" t="s">
        <v>160</v>
      </c>
      <c r="C47" t="s">
        <v>161</v>
      </c>
      <c r="D47" t="s">
        <v>143</v>
      </c>
      <c r="E47" t="s">
        <v>28</v>
      </c>
      <c r="F47" t="s">
        <v>21</v>
      </c>
      <c r="G47" t="s">
        <v>14</v>
      </c>
      <c r="H47" t="s">
        <v>14</v>
      </c>
      <c r="I47" t="s">
        <v>23</v>
      </c>
    </row>
    <row r="48" spans="1:9" x14ac:dyDescent="0.25">
      <c r="A48" t="s">
        <v>66</v>
      </c>
      <c r="B48" t="s">
        <v>162</v>
      </c>
      <c r="C48" t="s">
        <v>163</v>
      </c>
      <c r="D48" t="s">
        <v>164</v>
      </c>
      <c r="E48" t="s">
        <v>28</v>
      </c>
      <c r="F48" t="s">
        <v>21</v>
      </c>
      <c r="G48" t="s">
        <v>14</v>
      </c>
      <c r="H48" t="s">
        <v>14</v>
      </c>
      <c r="I48" t="s">
        <v>25</v>
      </c>
    </row>
    <row r="49" spans="1:9" x14ac:dyDescent="0.25">
      <c r="A49" t="s">
        <v>66</v>
      </c>
      <c r="B49" t="s">
        <v>165</v>
      </c>
      <c r="C49" t="s">
        <v>166</v>
      </c>
      <c r="D49" t="s">
        <v>164</v>
      </c>
      <c r="E49" t="s">
        <v>28</v>
      </c>
      <c r="F49" t="s">
        <v>21</v>
      </c>
      <c r="G49" t="s">
        <v>14</v>
      </c>
      <c r="H49" t="s">
        <v>14</v>
      </c>
      <c r="I49" t="s">
        <v>25</v>
      </c>
    </row>
    <row r="50" spans="1:9" x14ac:dyDescent="0.25">
      <c r="A50" t="s">
        <v>66</v>
      </c>
      <c r="B50" t="s">
        <v>167</v>
      </c>
      <c r="C50" t="s">
        <v>168</v>
      </c>
      <c r="D50" t="s">
        <v>164</v>
      </c>
      <c r="E50" t="s">
        <v>28</v>
      </c>
      <c r="F50" t="s">
        <v>21</v>
      </c>
      <c r="G50" t="s">
        <v>14</v>
      </c>
      <c r="H50" t="s">
        <v>14</v>
      </c>
      <c r="I50" t="s">
        <v>25</v>
      </c>
    </row>
    <row r="51" spans="1:9" x14ac:dyDescent="0.25">
      <c r="A51" t="s">
        <v>66</v>
      </c>
      <c r="B51" t="s">
        <v>169</v>
      </c>
      <c r="C51" t="s">
        <v>170</v>
      </c>
      <c r="D51" t="s">
        <v>164</v>
      </c>
      <c r="E51" t="s">
        <v>28</v>
      </c>
      <c r="F51" t="s">
        <v>21</v>
      </c>
      <c r="G51" t="s">
        <v>14</v>
      </c>
      <c r="H51" t="s">
        <v>14</v>
      </c>
      <c r="I51" t="s">
        <v>25</v>
      </c>
    </row>
    <row r="52" spans="1:9" x14ac:dyDescent="0.25">
      <c r="A52" t="s">
        <v>68</v>
      </c>
      <c r="B52" t="s">
        <v>171</v>
      </c>
      <c r="C52" t="s">
        <v>172</v>
      </c>
      <c r="D52" t="s">
        <v>173</v>
      </c>
      <c r="E52" t="s">
        <v>28</v>
      </c>
      <c r="F52" t="s">
        <v>21</v>
      </c>
      <c r="G52" t="s">
        <v>14</v>
      </c>
      <c r="H52" t="s">
        <v>14</v>
      </c>
      <c r="I52" t="s">
        <v>25</v>
      </c>
    </row>
    <row r="53" spans="1:9" x14ac:dyDescent="0.25">
      <c r="A53" t="s">
        <v>68</v>
      </c>
      <c r="B53" t="s">
        <v>174</v>
      </c>
      <c r="C53" t="s">
        <v>175</v>
      </c>
      <c r="D53" t="s">
        <v>173</v>
      </c>
      <c r="E53" t="s">
        <v>28</v>
      </c>
      <c r="F53" t="s">
        <v>21</v>
      </c>
      <c r="G53" t="s">
        <v>14</v>
      </c>
      <c r="H53" t="s">
        <v>14</v>
      </c>
      <c r="I53" t="s">
        <v>25</v>
      </c>
    </row>
    <row r="54" spans="1:9" x14ac:dyDescent="0.25">
      <c r="A54" t="s">
        <v>68</v>
      </c>
      <c r="B54" t="s">
        <v>176</v>
      </c>
      <c r="C54" t="s">
        <v>177</v>
      </c>
      <c r="D54" t="s">
        <v>173</v>
      </c>
      <c r="E54" t="s">
        <v>28</v>
      </c>
      <c r="F54" t="s">
        <v>21</v>
      </c>
      <c r="G54" t="s">
        <v>14</v>
      </c>
      <c r="H54" t="s">
        <v>14</v>
      </c>
      <c r="I54" t="s">
        <v>25</v>
      </c>
    </row>
    <row r="55" spans="1:9" x14ac:dyDescent="0.25">
      <c r="A55" t="s">
        <v>68</v>
      </c>
      <c r="B55" t="s">
        <v>178</v>
      </c>
      <c r="C55" t="s">
        <v>179</v>
      </c>
      <c r="D55" t="s">
        <v>173</v>
      </c>
      <c r="E55" t="s">
        <v>28</v>
      </c>
      <c r="F55" t="s">
        <v>21</v>
      </c>
      <c r="G55" t="s">
        <v>14</v>
      </c>
      <c r="H55" t="s">
        <v>14</v>
      </c>
      <c r="I55" t="s">
        <v>25</v>
      </c>
    </row>
    <row r="56" spans="1:9" x14ac:dyDescent="0.25">
      <c r="A56" t="s">
        <v>69</v>
      </c>
      <c r="B56" t="s">
        <v>180</v>
      </c>
      <c r="C56" t="s">
        <v>181</v>
      </c>
      <c r="D56" t="s">
        <v>182</v>
      </c>
      <c r="E56" t="s">
        <v>28</v>
      </c>
      <c r="F56" t="s">
        <v>21</v>
      </c>
      <c r="G56" t="s">
        <v>14</v>
      </c>
      <c r="H56" t="s">
        <v>14</v>
      </c>
      <c r="I56" t="s">
        <v>183</v>
      </c>
    </row>
    <row r="57" spans="1:9" x14ac:dyDescent="0.25">
      <c r="A57" t="s">
        <v>69</v>
      </c>
      <c r="B57" t="s">
        <v>184</v>
      </c>
      <c r="C57" t="s">
        <v>185</v>
      </c>
      <c r="D57" t="s">
        <v>182</v>
      </c>
      <c r="E57" t="s">
        <v>28</v>
      </c>
      <c r="F57" t="s">
        <v>21</v>
      </c>
      <c r="G57" t="s">
        <v>14</v>
      </c>
      <c r="H57" t="s">
        <v>14</v>
      </c>
      <c r="I57" t="s">
        <v>183</v>
      </c>
    </row>
    <row r="58" spans="1:9" x14ac:dyDescent="0.25">
      <c r="A58" t="s">
        <v>69</v>
      </c>
      <c r="B58" t="s">
        <v>186</v>
      </c>
      <c r="C58" t="s">
        <v>187</v>
      </c>
      <c r="D58" t="s">
        <v>182</v>
      </c>
      <c r="E58" t="s">
        <v>28</v>
      </c>
      <c r="F58" t="s">
        <v>21</v>
      </c>
      <c r="G58" t="s">
        <v>14</v>
      </c>
      <c r="H58" t="s">
        <v>14</v>
      </c>
      <c r="I58" t="s">
        <v>183</v>
      </c>
    </row>
    <row r="59" spans="1:9" x14ac:dyDescent="0.25">
      <c r="A59" t="s">
        <v>69</v>
      </c>
      <c r="B59" t="s">
        <v>188</v>
      </c>
      <c r="C59" t="s">
        <v>189</v>
      </c>
      <c r="D59" t="s">
        <v>182</v>
      </c>
      <c r="E59" t="s">
        <v>28</v>
      </c>
      <c r="F59" t="s">
        <v>21</v>
      </c>
      <c r="G59" t="s">
        <v>14</v>
      </c>
      <c r="H59" t="s">
        <v>14</v>
      </c>
      <c r="I59" t="s">
        <v>183</v>
      </c>
    </row>
    <row r="60" spans="1:9" x14ac:dyDescent="0.25">
      <c r="A60" t="s">
        <v>70</v>
      </c>
      <c r="B60" t="s">
        <v>190</v>
      </c>
      <c r="C60" t="s">
        <v>191</v>
      </c>
      <c r="D60" t="s">
        <v>192</v>
      </c>
      <c r="E60" t="s">
        <v>28</v>
      </c>
      <c r="F60" t="s">
        <v>21</v>
      </c>
      <c r="G60" t="s">
        <v>14</v>
      </c>
      <c r="H60" t="s">
        <v>14</v>
      </c>
      <c r="I60" t="s">
        <v>30</v>
      </c>
    </row>
    <row r="61" spans="1:9" x14ac:dyDescent="0.25">
      <c r="A61" t="s">
        <v>70</v>
      </c>
      <c r="B61" t="s">
        <v>571</v>
      </c>
      <c r="C61" t="s">
        <v>572</v>
      </c>
      <c r="D61" t="s">
        <v>192</v>
      </c>
      <c r="E61" t="s">
        <v>28</v>
      </c>
      <c r="F61" t="s">
        <v>21</v>
      </c>
      <c r="G61" t="s">
        <v>14</v>
      </c>
      <c r="H61" t="s">
        <v>14</v>
      </c>
      <c r="I61" t="s">
        <v>30</v>
      </c>
    </row>
    <row r="62" spans="1:9" x14ac:dyDescent="0.25">
      <c r="A62" t="s">
        <v>70</v>
      </c>
      <c r="B62" t="s">
        <v>193</v>
      </c>
      <c r="C62" t="s">
        <v>194</v>
      </c>
      <c r="D62" t="s">
        <v>192</v>
      </c>
      <c r="E62" t="s">
        <v>28</v>
      </c>
      <c r="F62" t="s">
        <v>21</v>
      </c>
      <c r="G62" t="s">
        <v>14</v>
      </c>
      <c r="H62" t="s">
        <v>14</v>
      </c>
      <c r="I62" t="s">
        <v>30</v>
      </c>
    </row>
    <row r="63" spans="1:9" x14ac:dyDescent="0.25">
      <c r="A63" t="s">
        <v>70</v>
      </c>
      <c r="B63" t="s">
        <v>195</v>
      </c>
      <c r="C63" t="s">
        <v>196</v>
      </c>
      <c r="D63" t="s">
        <v>192</v>
      </c>
      <c r="E63" t="s">
        <v>28</v>
      </c>
      <c r="F63" t="s">
        <v>21</v>
      </c>
      <c r="G63" t="s">
        <v>14</v>
      </c>
      <c r="H63" t="s">
        <v>14</v>
      </c>
      <c r="I63" t="s">
        <v>30</v>
      </c>
    </row>
    <row r="64" spans="1:9" x14ac:dyDescent="0.25">
      <c r="A64" t="s">
        <v>71</v>
      </c>
      <c r="B64" t="s">
        <v>197</v>
      </c>
      <c r="C64" t="s">
        <v>198</v>
      </c>
      <c r="D64" t="s">
        <v>199</v>
      </c>
      <c r="E64" t="s">
        <v>28</v>
      </c>
      <c r="F64" t="s">
        <v>21</v>
      </c>
      <c r="G64" t="s">
        <v>14</v>
      </c>
      <c r="H64" t="s">
        <v>14</v>
      </c>
      <c r="I64" t="s">
        <v>16</v>
      </c>
    </row>
    <row r="65" spans="1:9" x14ac:dyDescent="0.25">
      <c r="A65" t="s">
        <v>71</v>
      </c>
      <c r="B65" t="s">
        <v>573</v>
      </c>
      <c r="C65" t="s">
        <v>574</v>
      </c>
      <c r="D65" t="s">
        <v>199</v>
      </c>
      <c r="E65" t="s">
        <v>28</v>
      </c>
      <c r="F65" t="s">
        <v>21</v>
      </c>
      <c r="G65" t="s">
        <v>14</v>
      </c>
      <c r="H65" t="s">
        <v>14</v>
      </c>
      <c r="I65" t="s">
        <v>16</v>
      </c>
    </row>
    <row r="66" spans="1:9" x14ac:dyDescent="0.25">
      <c r="A66" t="s">
        <v>71</v>
      </c>
      <c r="B66" t="s">
        <v>575</v>
      </c>
      <c r="C66" t="s">
        <v>576</v>
      </c>
      <c r="D66" t="s">
        <v>199</v>
      </c>
      <c r="E66" t="s">
        <v>28</v>
      </c>
      <c r="F66" t="s">
        <v>21</v>
      </c>
      <c r="G66" t="s">
        <v>14</v>
      </c>
      <c r="H66" t="s">
        <v>14</v>
      </c>
      <c r="I66" t="s">
        <v>16</v>
      </c>
    </row>
    <row r="67" spans="1:9" x14ac:dyDescent="0.25">
      <c r="A67" t="s">
        <v>71</v>
      </c>
      <c r="B67" t="s">
        <v>577</v>
      </c>
      <c r="C67" t="s">
        <v>578</v>
      </c>
      <c r="D67" t="s">
        <v>199</v>
      </c>
      <c r="E67" t="s">
        <v>28</v>
      </c>
      <c r="F67" t="s">
        <v>21</v>
      </c>
      <c r="G67" t="s">
        <v>14</v>
      </c>
      <c r="H67" t="s">
        <v>14</v>
      </c>
      <c r="I67" t="s">
        <v>16</v>
      </c>
    </row>
    <row r="68" spans="1:9" x14ac:dyDescent="0.25">
      <c r="A68" t="s">
        <v>72</v>
      </c>
      <c r="B68" t="s">
        <v>200</v>
      </c>
      <c r="C68" t="s">
        <v>201</v>
      </c>
      <c r="D68" t="s">
        <v>202</v>
      </c>
      <c r="E68" t="s">
        <v>28</v>
      </c>
      <c r="F68" t="s">
        <v>21</v>
      </c>
      <c r="G68" t="s">
        <v>14</v>
      </c>
      <c r="H68" t="s">
        <v>14</v>
      </c>
      <c r="I68" t="s">
        <v>16</v>
      </c>
    </row>
    <row r="69" spans="1:9" x14ac:dyDescent="0.25">
      <c r="A69" t="s">
        <v>72</v>
      </c>
      <c r="B69" t="s">
        <v>203</v>
      </c>
      <c r="C69" t="s">
        <v>204</v>
      </c>
      <c r="D69" t="s">
        <v>202</v>
      </c>
      <c r="E69" t="s">
        <v>28</v>
      </c>
      <c r="F69" t="s">
        <v>21</v>
      </c>
      <c r="G69" t="s">
        <v>14</v>
      </c>
      <c r="H69" t="s">
        <v>14</v>
      </c>
      <c r="I69" t="s">
        <v>16</v>
      </c>
    </row>
    <row r="70" spans="1:9" x14ac:dyDescent="0.25">
      <c r="A70" t="s">
        <v>72</v>
      </c>
      <c r="B70" t="s">
        <v>579</v>
      </c>
      <c r="C70" t="s">
        <v>580</v>
      </c>
      <c r="D70" t="s">
        <v>202</v>
      </c>
      <c r="E70" t="s">
        <v>28</v>
      </c>
      <c r="F70" t="s">
        <v>21</v>
      </c>
      <c r="G70" t="s">
        <v>14</v>
      </c>
      <c r="H70" t="s">
        <v>14</v>
      </c>
      <c r="I70" t="s">
        <v>16</v>
      </c>
    </row>
    <row r="71" spans="1:9" x14ac:dyDescent="0.25">
      <c r="A71" t="s">
        <v>72</v>
      </c>
      <c r="B71" t="s">
        <v>205</v>
      </c>
      <c r="C71" t="s">
        <v>206</v>
      </c>
      <c r="D71" t="s">
        <v>202</v>
      </c>
      <c r="E71" t="s">
        <v>28</v>
      </c>
      <c r="F71" t="s">
        <v>21</v>
      </c>
      <c r="G71" t="s">
        <v>14</v>
      </c>
      <c r="H71" t="s">
        <v>14</v>
      </c>
      <c r="I71" t="s">
        <v>16</v>
      </c>
    </row>
    <row r="72" spans="1:9" x14ac:dyDescent="0.25">
      <c r="A72" t="s">
        <v>73</v>
      </c>
      <c r="B72" t="s">
        <v>207</v>
      </c>
      <c r="C72" t="s">
        <v>208</v>
      </c>
      <c r="D72" t="s">
        <v>209</v>
      </c>
      <c r="E72" t="s">
        <v>28</v>
      </c>
      <c r="F72" t="s">
        <v>21</v>
      </c>
      <c r="G72" t="s">
        <v>14</v>
      </c>
      <c r="H72" t="s">
        <v>14</v>
      </c>
      <c r="I72" t="s">
        <v>32</v>
      </c>
    </row>
    <row r="73" spans="1:9" x14ac:dyDescent="0.25">
      <c r="A73" t="s">
        <v>73</v>
      </c>
      <c r="B73" t="s">
        <v>210</v>
      </c>
      <c r="C73" t="s">
        <v>211</v>
      </c>
      <c r="D73" t="s">
        <v>209</v>
      </c>
      <c r="E73" t="s">
        <v>28</v>
      </c>
      <c r="F73" t="s">
        <v>21</v>
      </c>
      <c r="G73" t="s">
        <v>14</v>
      </c>
      <c r="H73" t="s">
        <v>14</v>
      </c>
      <c r="I73" t="s">
        <v>32</v>
      </c>
    </row>
    <row r="74" spans="1:9" x14ac:dyDescent="0.25">
      <c r="A74" t="s">
        <v>73</v>
      </c>
      <c r="B74" t="s">
        <v>212</v>
      </c>
      <c r="C74" t="s">
        <v>213</v>
      </c>
      <c r="D74" t="s">
        <v>209</v>
      </c>
      <c r="E74" t="s">
        <v>28</v>
      </c>
      <c r="F74" t="s">
        <v>21</v>
      </c>
      <c r="G74" t="s">
        <v>14</v>
      </c>
      <c r="H74" t="s">
        <v>14</v>
      </c>
      <c r="I74" t="s">
        <v>32</v>
      </c>
    </row>
    <row r="75" spans="1:9" x14ac:dyDescent="0.25">
      <c r="A75" t="s">
        <v>73</v>
      </c>
      <c r="B75" t="s">
        <v>214</v>
      </c>
      <c r="C75" t="s">
        <v>215</v>
      </c>
      <c r="D75" t="s">
        <v>209</v>
      </c>
      <c r="E75" t="s">
        <v>28</v>
      </c>
      <c r="F75" t="s">
        <v>21</v>
      </c>
      <c r="G75" t="s">
        <v>14</v>
      </c>
      <c r="H75" t="s">
        <v>14</v>
      </c>
      <c r="I75" t="s">
        <v>32</v>
      </c>
    </row>
    <row r="76" spans="1:9" x14ac:dyDescent="0.25">
      <c r="A76" t="s">
        <v>74</v>
      </c>
      <c r="B76" t="s">
        <v>216</v>
      </c>
      <c r="C76" t="s">
        <v>217</v>
      </c>
      <c r="D76" t="s">
        <v>218</v>
      </c>
      <c r="E76" t="s">
        <v>28</v>
      </c>
      <c r="F76" t="s">
        <v>21</v>
      </c>
      <c r="G76" t="s">
        <v>14</v>
      </c>
      <c r="H76" t="s">
        <v>14</v>
      </c>
      <c r="I76" t="s">
        <v>32</v>
      </c>
    </row>
    <row r="77" spans="1:9" x14ac:dyDescent="0.25">
      <c r="A77" t="s">
        <v>74</v>
      </c>
      <c r="B77" t="s">
        <v>219</v>
      </c>
      <c r="C77" t="s">
        <v>220</v>
      </c>
      <c r="D77" t="s">
        <v>218</v>
      </c>
      <c r="E77" t="s">
        <v>28</v>
      </c>
      <c r="F77" t="s">
        <v>21</v>
      </c>
      <c r="G77" t="s">
        <v>14</v>
      </c>
      <c r="H77" t="s">
        <v>14</v>
      </c>
      <c r="I77" t="s">
        <v>32</v>
      </c>
    </row>
    <row r="78" spans="1:9" x14ac:dyDescent="0.25">
      <c r="A78" t="s">
        <v>74</v>
      </c>
      <c r="B78" t="s">
        <v>221</v>
      </c>
      <c r="C78" t="s">
        <v>222</v>
      </c>
      <c r="D78" t="s">
        <v>218</v>
      </c>
      <c r="E78" t="s">
        <v>28</v>
      </c>
      <c r="F78" t="s">
        <v>21</v>
      </c>
      <c r="G78" t="s">
        <v>14</v>
      </c>
      <c r="H78" t="s">
        <v>14</v>
      </c>
      <c r="I78" t="s">
        <v>32</v>
      </c>
    </row>
    <row r="79" spans="1:9" x14ac:dyDescent="0.25">
      <c r="A79" t="s">
        <v>74</v>
      </c>
      <c r="B79" t="s">
        <v>223</v>
      </c>
      <c r="C79" t="s">
        <v>224</v>
      </c>
      <c r="D79" t="s">
        <v>218</v>
      </c>
      <c r="E79" t="s">
        <v>28</v>
      </c>
      <c r="F79" t="s">
        <v>21</v>
      </c>
      <c r="G79" t="s">
        <v>14</v>
      </c>
      <c r="H79" t="s">
        <v>14</v>
      </c>
      <c r="I79" t="s">
        <v>32</v>
      </c>
    </row>
    <row r="80" spans="1:9" x14ac:dyDescent="0.25">
      <c r="A80" t="s">
        <v>75</v>
      </c>
      <c r="B80" t="s">
        <v>225</v>
      </c>
      <c r="C80" t="s">
        <v>226</v>
      </c>
      <c r="D80" t="s">
        <v>227</v>
      </c>
      <c r="E80" t="s">
        <v>28</v>
      </c>
      <c r="F80" t="s">
        <v>21</v>
      </c>
      <c r="G80" t="s">
        <v>14</v>
      </c>
      <c r="H80" t="s">
        <v>14</v>
      </c>
      <c r="I80" t="s">
        <v>18</v>
      </c>
    </row>
    <row r="81" spans="1:9" x14ac:dyDescent="0.25">
      <c r="A81" t="s">
        <v>75</v>
      </c>
      <c r="B81" t="s">
        <v>228</v>
      </c>
      <c r="C81" t="s">
        <v>229</v>
      </c>
      <c r="D81" t="s">
        <v>227</v>
      </c>
      <c r="E81" t="s">
        <v>28</v>
      </c>
      <c r="F81" t="s">
        <v>21</v>
      </c>
      <c r="G81" t="s">
        <v>14</v>
      </c>
      <c r="H81" t="s">
        <v>14</v>
      </c>
      <c r="I81" t="s">
        <v>18</v>
      </c>
    </row>
    <row r="82" spans="1:9" x14ac:dyDescent="0.25">
      <c r="A82" t="s">
        <v>75</v>
      </c>
      <c r="B82" t="s">
        <v>230</v>
      </c>
      <c r="C82" t="s">
        <v>231</v>
      </c>
      <c r="D82" t="s">
        <v>227</v>
      </c>
      <c r="E82" t="s">
        <v>28</v>
      </c>
      <c r="F82" t="s">
        <v>21</v>
      </c>
      <c r="G82" t="s">
        <v>14</v>
      </c>
      <c r="H82" t="s">
        <v>14</v>
      </c>
      <c r="I82" t="s">
        <v>18</v>
      </c>
    </row>
    <row r="83" spans="1:9" x14ac:dyDescent="0.25">
      <c r="A83" t="s">
        <v>75</v>
      </c>
      <c r="B83" t="s">
        <v>232</v>
      </c>
      <c r="C83" t="s">
        <v>233</v>
      </c>
      <c r="D83" t="s">
        <v>227</v>
      </c>
      <c r="E83" t="s">
        <v>28</v>
      </c>
      <c r="F83" t="s">
        <v>21</v>
      </c>
      <c r="G83" t="s">
        <v>14</v>
      </c>
      <c r="H83" t="s">
        <v>14</v>
      </c>
      <c r="I83" t="s">
        <v>18</v>
      </c>
    </row>
    <row r="84" spans="1:9" x14ac:dyDescent="0.25">
      <c r="A84" t="s">
        <v>76</v>
      </c>
      <c r="B84" t="s">
        <v>234</v>
      </c>
      <c r="C84" t="s">
        <v>235</v>
      </c>
      <c r="D84" t="s">
        <v>236</v>
      </c>
      <c r="E84" t="s">
        <v>28</v>
      </c>
      <c r="F84" t="s">
        <v>21</v>
      </c>
      <c r="G84" t="s">
        <v>14</v>
      </c>
      <c r="H84" t="s">
        <v>14</v>
      </c>
      <c r="I84" t="s">
        <v>22</v>
      </c>
    </row>
    <row r="85" spans="1:9" x14ac:dyDescent="0.25">
      <c r="A85" t="s">
        <v>76</v>
      </c>
      <c r="B85" t="s">
        <v>237</v>
      </c>
      <c r="C85" t="s">
        <v>238</v>
      </c>
      <c r="D85" t="s">
        <v>236</v>
      </c>
      <c r="E85" t="s">
        <v>28</v>
      </c>
      <c r="F85" t="s">
        <v>21</v>
      </c>
      <c r="G85" t="s">
        <v>14</v>
      </c>
      <c r="H85" t="s">
        <v>14</v>
      </c>
      <c r="I85" t="s">
        <v>22</v>
      </c>
    </row>
    <row r="86" spans="1:9" x14ac:dyDescent="0.25">
      <c r="A86" t="s">
        <v>76</v>
      </c>
      <c r="B86" t="s">
        <v>239</v>
      </c>
      <c r="C86" t="s">
        <v>240</v>
      </c>
      <c r="D86" t="s">
        <v>236</v>
      </c>
      <c r="E86" t="s">
        <v>28</v>
      </c>
      <c r="F86" t="s">
        <v>21</v>
      </c>
      <c r="G86" t="s">
        <v>14</v>
      </c>
      <c r="H86" t="s">
        <v>14</v>
      </c>
      <c r="I86" t="s">
        <v>22</v>
      </c>
    </row>
    <row r="87" spans="1:9" x14ac:dyDescent="0.25">
      <c r="A87" t="s">
        <v>76</v>
      </c>
      <c r="B87" t="s">
        <v>241</v>
      </c>
      <c r="C87" t="s">
        <v>242</v>
      </c>
      <c r="D87" t="s">
        <v>236</v>
      </c>
      <c r="E87" t="s">
        <v>28</v>
      </c>
      <c r="F87" t="s">
        <v>21</v>
      </c>
      <c r="G87" t="s">
        <v>14</v>
      </c>
      <c r="H87" t="s">
        <v>14</v>
      </c>
      <c r="I87" t="s">
        <v>22</v>
      </c>
    </row>
    <row r="88" spans="1:9" x14ac:dyDescent="0.25">
      <c r="A88" t="s">
        <v>77</v>
      </c>
      <c r="B88" t="s">
        <v>243</v>
      </c>
      <c r="C88" t="s">
        <v>244</v>
      </c>
      <c r="D88" t="s">
        <v>245</v>
      </c>
      <c r="E88" t="s">
        <v>28</v>
      </c>
      <c r="F88" t="s">
        <v>21</v>
      </c>
      <c r="G88" t="s">
        <v>14</v>
      </c>
      <c r="H88" t="s">
        <v>14</v>
      </c>
      <c r="I88" t="s">
        <v>22</v>
      </c>
    </row>
    <row r="89" spans="1:9" x14ac:dyDescent="0.25">
      <c r="A89" t="s">
        <v>77</v>
      </c>
      <c r="B89" t="s">
        <v>246</v>
      </c>
      <c r="C89" t="s">
        <v>247</v>
      </c>
      <c r="D89" t="s">
        <v>245</v>
      </c>
      <c r="E89" t="s">
        <v>28</v>
      </c>
      <c r="F89" t="s">
        <v>21</v>
      </c>
      <c r="G89" t="s">
        <v>14</v>
      </c>
      <c r="H89" t="s">
        <v>14</v>
      </c>
      <c r="I89" t="s">
        <v>22</v>
      </c>
    </row>
    <row r="90" spans="1:9" x14ac:dyDescent="0.25">
      <c r="A90" t="s">
        <v>77</v>
      </c>
      <c r="B90" t="s">
        <v>248</v>
      </c>
      <c r="C90" t="s">
        <v>249</v>
      </c>
      <c r="D90" t="s">
        <v>245</v>
      </c>
      <c r="E90" t="s">
        <v>28</v>
      </c>
      <c r="F90" t="s">
        <v>21</v>
      </c>
      <c r="G90" t="s">
        <v>14</v>
      </c>
      <c r="H90" t="s">
        <v>14</v>
      </c>
      <c r="I90" t="s">
        <v>22</v>
      </c>
    </row>
    <row r="91" spans="1:9" x14ac:dyDescent="0.25">
      <c r="A91" t="s">
        <v>77</v>
      </c>
      <c r="B91" t="s">
        <v>250</v>
      </c>
      <c r="C91" t="s">
        <v>251</v>
      </c>
      <c r="D91" t="s">
        <v>245</v>
      </c>
      <c r="E91" t="s">
        <v>28</v>
      </c>
      <c r="F91" t="s">
        <v>21</v>
      </c>
      <c r="G91" t="s">
        <v>14</v>
      </c>
      <c r="H91" t="s">
        <v>14</v>
      </c>
      <c r="I91" t="s">
        <v>22</v>
      </c>
    </row>
    <row r="92" spans="1:9" x14ac:dyDescent="0.25">
      <c r="A92" t="s">
        <v>78</v>
      </c>
      <c r="B92" t="s">
        <v>252</v>
      </c>
      <c r="C92" t="s">
        <v>253</v>
      </c>
      <c r="D92" t="s">
        <v>254</v>
      </c>
      <c r="E92" t="s">
        <v>28</v>
      </c>
      <c r="F92" t="s">
        <v>21</v>
      </c>
      <c r="G92" t="s">
        <v>14</v>
      </c>
      <c r="H92" t="s">
        <v>14</v>
      </c>
      <c r="I92" t="s">
        <v>34</v>
      </c>
    </row>
    <row r="93" spans="1:9" x14ac:dyDescent="0.25">
      <c r="A93" t="s">
        <v>78</v>
      </c>
      <c r="B93" t="s">
        <v>581</v>
      </c>
      <c r="C93" t="s">
        <v>582</v>
      </c>
      <c r="D93" t="s">
        <v>254</v>
      </c>
      <c r="E93" t="s">
        <v>28</v>
      </c>
      <c r="F93" t="s">
        <v>21</v>
      </c>
      <c r="G93" t="s">
        <v>14</v>
      </c>
      <c r="H93" t="s">
        <v>14</v>
      </c>
      <c r="I93" t="s">
        <v>34</v>
      </c>
    </row>
    <row r="94" spans="1:9" x14ac:dyDescent="0.25">
      <c r="A94" t="s">
        <v>78</v>
      </c>
      <c r="B94" t="s">
        <v>583</v>
      </c>
      <c r="C94" t="s">
        <v>584</v>
      </c>
      <c r="D94" t="s">
        <v>254</v>
      </c>
      <c r="E94" t="s">
        <v>28</v>
      </c>
      <c r="F94" t="s">
        <v>21</v>
      </c>
      <c r="G94" t="s">
        <v>14</v>
      </c>
      <c r="H94" t="s">
        <v>14</v>
      </c>
      <c r="I94" t="s">
        <v>34</v>
      </c>
    </row>
    <row r="95" spans="1:9" x14ac:dyDescent="0.25">
      <c r="A95" t="s">
        <v>79</v>
      </c>
      <c r="B95" t="s">
        <v>585</v>
      </c>
      <c r="C95" t="s">
        <v>586</v>
      </c>
      <c r="D95" t="s">
        <v>257</v>
      </c>
      <c r="E95" t="s">
        <v>28</v>
      </c>
      <c r="F95" t="s">
        <v>21</v>
      </c>
      <c r="G95" t="s">
        <v>14</v>
      </c>
      <c r="H95" t="s">
        <v>14</v>
      </c>
      <c r="I95" t="s">
        <v>34</v>
      </c>
    </row>
    <row r="96" spans="1:9" x14ac:dyDescent="0.25">
      <c r="A96" t="s">
        <v>79</v>
      </c>
      <c r="B96" t="s">
        <v>255</v>
      </c>
      <c r="C96" t="s">
        <v>256</v>
      </c>
      <c r="D96" t="s">
        <v>257</v>
      </c>
      <c r="E96" t="s">
        <v>28</v>
      </c>
      <c r="F96" t="s">
        <v>21</v>
      </c>
      <c r="G96" t="s">
        <v>14</v>
      </c>
      <c r="H96" t="s">
        <v>14</v>
      </c>
      <c r="I96" t="s">
        <v>34</v>
      </c>
    </row>
    <row r="97" spans="1:9" x14ac:dyDescent="0.25">
      <c r="A97" t="s">
        <v>79</v>
      </c>
      <c r="B97" t="s">
        <v>258</v>
      </c>
      <c r="C97" t="s">
        <v>259</v>
      </c>
      <c r="D97" t="s">
        <v>257</v>
      </c>
      <c r="E97" t="s">
        <v>28</v>
      </c>
      <c r="F97" t="s">
        <v>21</v>
      </c>
      <c r="G97" t="s">
        <v>14</v>
      </c>
      <c r="H97" t="s">
        <v>14</v>
      </c>
      <c r="I97" t="s">
        <v>34</v>
      </c>
    </row>
    <row r="98" spans="1:9" x14ac:dyDescent="0.25">
      <c r="A98" t="s">
        <v>79</v>
      </c>
      <c r="B98" t="s">
        <v>260</v>
      </c>
      <c r="C98" t="s">
        <v>261</v>
      </c>
      <c r="D98" t="s">
        <v>257</v>
      </c>
      <c r="E98" t="s">
        <v>28</v>
      </c>
      <c r="F98" t="s">
        <v>21</v>
      </c>
      <c r="G98" t="s">
        <v>14</v>
      </c>
      <c r="H98" t="s">
        <v>14</v>
      </c>
      <c r="I98" t="s">
        <v>34</v>
      </c>
    </row>
    <row r="99" spans="1:9" x14ac:dyDescent="0.25">
      <c r="A99" t="s">
        <v>80</v>
      </c>
      <c r="B99" t="s">
        <v>262</v>
      </c>
      <c r="C99" t="s">
        <v>263</v>
      </c>
      <c r="D99" t="s">
        <v>264</v>
      </c>
      <c r="E99" t="s">
        <v>28</v>
      </c>
      <c r="F99" t="s">
        <v>21</v>
      </c>
      <c r="G99" t="s">
        <v>14</v>
      </c>
      <c r="H99" t="s">
        <v>14</v>
      </c>
      <c r="I99" t="s">
        <v>23</v>
      </c>
    </row>
    <row r="100" spans="1:9" x14ac:dyDescent="0.25">
      <c r="A100" t="s">
        <v>80</v>
      </c>
      <c r="B100" t="s">
        <v>587</v>
      </c>
      <c r="C100" t="s">
        <v>588</v>
      </c>
      <c r="D100" t="s">
        <v>264</v>
      </c>
      <c r="E100" t="s">
        <v>28</v>
      </c>
      <c r="F100" t="s">
        <v>21</v>
      </c>
      <c r="G100" t="s">
        <v>14</v>
      </c>
      <c r="H100" t="s">
        <v>14</v>
      </c>
      <c r="I100" t="s">
        <v>23</v>
      </c>
    </row>
    <row r="101" spans="1:9" x14ac:dyDescent="0.25">
      <c r="A101" t="s">
        <v>80</v>
      </c>
      <c r="B101" t="s">
        <v>265</v>
      </c>
      <c r="C101" t="s">
        <v>266</v>
      </c>
      <c r="D101" t="s">
        <v>264</v>
      </c>
      <c r="E101" t="s">
        <v>28</v>
      </c>
      <c r="F101" t="s">
        <v>21</v>
      </c>
      <c r="G101" t="s">
        <v>14</v>
      </c>
      <c r="H101" t="s">
        <v>14</v>
      </c>
      <c r="I101" t="s">
        <v>23</v>
      </c>
    </row>
    <row r="102" spans="1:9" x14ac:dyDescent="0.25">
      <c r="A102" t="s">
        <v>80</v>
      </c>
      <c r="B102" t="s">
        <v>267</v>
      </c>
      <c r="C102" t="s">
        <v>268</v>
      </c>
      <c r="D102" t="s">
        <v>264</v>
      </c>
      <c r="E102" t="s">
        <v>28</v>
      </c>
      <c r="F102" t="s">
        <v>21</v>
      </c>
      <c r="G102" t="s">
        <v>14</v>
      </c>
      <c r="H102" t="s">
        <v>14</v>
      </c>
      <c r="I102" t="s">
        <v>23</v>
      </c>
    </row>
    <row r="103" spans="1:9" x14ac:dyDescent="0.25">
      <c r="A103" t="s">
        <v>81</v>
      </c>
      <c r="B103" t="s">
        <v>589</v>
      </c>
      <c r="C103" t="s">
        <v>590</v>
      </c>
      <c r="D103" t="s">
        <v>271</v>
      </c>
      <c r="E103" t="s">
        <v>28</v>
      </c>
      <c r="F103" t="s">
        <v>21</v>
      </c>
      <c r="G103" t="s">
        <v>14</v>
      </c>
      <c r="H103" t="s">
        <v>14</v>
      </c>
      <c r="I103" t="s">
        <v>24</v>
      </c>
    </row>
    <row r="104" spans="1:9" x14ac:dyDescent="0.25">
      <c r="A104" t="s">
        <v>81</v>
      </c>
      <c r="B104" t="s">
        <v>269</v>
      </c>
      <c r="C104" t="s">
        <v>270</v>
      </c>
      <c r="D104" t="s">
        <v>271</v>
      </c>
      <c r="E104" t="s">
        <v>28</v>
      </c>
      <c r="F104" t="s">
        <v>21</v>
      </c>
      <c r="G104" t="s">
        <v>14</v>
      </c>
      <c r="H104" t="s">
        <v>14</v>
      </c>
      <c r="I104" t="s">
        <v>24</v>
      </c>
    </row>
    <row r="105" spans="1:9" x14ac:dyDescent="0.25">
      <c r="A105" t="s">
        <v>81</v>
      </c>
      <c r="B105" t="s">
        <v>272</v>
      </c>
      <c r="C105" t="s">
        <v>273</v>
      </c>
      <c r="D105" t="s">
        <v>271</v>
      </c>
      <c r="E105" t="s">
        <v>28</v>
      </c>
      <c r="F105" t="s">
        <v>21</v>
      </c>
      <c r="G105" t="s">
        <v>14</v>
      </c>
      <c r="H105" t="s">
        <v>14</v>
      </c>
      <c r="I105" t="s">
        <v>24</v>
      </c>
    </row>
    <row r="106" spans="1:9" x14ac:dyDescent="0.25">
      <c r="A106" t="s">
        <v>81</v>
      </c>
      <c r="B106" t="s">
        <v>274</v>
      </c>
      <c r="C106" t="s">
        <v>275</v>
      </c>
      <c r="D106" t="s">
        <v>271</v>
      </c>
      <c r="E106" t="s">
        <v>28</v>
      </c>
      <c r="F106" t="s">
        <v>21</v>
      </c>
      <c r="G106" t="s">
        <v>14</v>
      </c>
      <c r="H106" t="s">
        <v>14</v>
      </c>
      <c r="I106" t="s">
        <v>24</v>
      </c>
    </row>
    <row r="107" spans="1:9" x14ac:dyDescent="0.25">
      <c r="A107" t="s">
        <v>82</v>
      </c>
      <c r="B107" t="s">
        <v>276</v>
      </c>
      <c r="C107" t="s">
        <v>277</v>
      </c>
      <c r="D107" t="s">
        <v>278</v>
      </c>
      <c r="E107" t="s">
        <v>28</v>
      </c>
      <c r="F107" t="s">
        <v>21</v>
      </c>
      <c r="G107" t="s">
        <v>14</v>
      </c>
      <c r="H107" t="s">
        <v>14</v>
      </c>
      <c r="I107" t="s">
        <v>183</v>
      </c>
    </row>
    <row r="108" spans="1:9" x14ac:dyDescent="0.25">
      <c r="A108" t="s">
        <v>82</v>
      </c>
      <c r="B108" t="s">
        <v>279</v>
      </c>
      <c r="C108" t="s">
        <v>280</v>
      </c>
      <c r="D108" t="s">
        <v>278</v>
      </c>
      <c r="E108" t="s">
        <v>28</v>
      </c>
      <c r="F108" t="s">
        <v>21</v>
      </c>
      <c r="G108" t="s">
        <v>14</v>
      </c>
      <c r="H108" t="s">
        <v>14</v>
      </c>
      <c r="I108" t="s">
        <v>183</v>
      </c>
    </row>
    <row r="109" spans="1:9" x14ac:dyDescent="0.25">
      <c r="A109" t="s">
        <v>82</v>
      </c>
      <c r="B109" t="s">
        <v>281</v>
      </c>
      <c r="C109" t="s">
        <v>282</v>
      </c>
      <c r="D109" t="s">
        <v>278</v>
      </c>
      <c r="E109" t="s">
        <v>28</v>
      </c>
      <c r="F109" t="s">
        <v>21</v>
      </c>
      <c r="G109" t="s">
        <v>14</v>
      </c>
      <c r="H109" t="s">
        <v>14</v>
      </c>
      <c r="I109" t="s">
        <v>183</v>
      </c>
    </row>
    <row r="110" spans="1:9" x14ac:dyDescent="0.25">
      <c r="A110" t="s">
        <v>82</v>
      </c>
      <c r="B110" t="s">
        <v>283</v>
      </c>
      <c r="C110" t="s">
        <v>284</v>
      </c>
      <c r="D110" t="s">
        <v>278</v>
      </c>
      <c r="E110" t="s">
        <v>28</v>
      </c>
      <c r="F110" t="s">
        <v>21</v>
      </c>
      <c r="G110" t="s">
        <v>14</v>
      </c>
      <c r="H110" t="s">
        <v>14</v>
      </c>
      <c r="I110" t="s">
        <v>183</v>
      </c>
    </row>
    <row r="111" spans="1:9" x14ac:dyDescent="0.25">
      <c r="A111" t="s">
        <v>67</v>
      </c>
      <c r="B111" t="s">
        <v>285</v>
      </c>
      <c r="C111" t="s">
        <v>286</v>
      </c>
      <c r="D111" t="s">
        <v>287</v>
      </c>
      <c r="E111" t="s">
        <v>28</v>
      </c>
      <c r="F111" t="s">
        <v>21</v>
      </c>
      <c r="G111" t="s">
        <v>14</v>
      </c>
      <c r="H111" t="s">
        <v>14</v>
      </c>
      <c r="I111" t="s">
        <v>25</v>
      </c>
    </row>
    <row r="112" spans="1:9" x14ac:dyDescent="0.25">
      <c r="A112" t="s">
        <v>67</v>
      </c>
      <c r="B112" t="s">
        <v>288</v>
      </c>
      <c r="C112" t="s">
        <v>289</v>
      </c>
      <c r="D112" t="s">
        <v>287</v>
      </c>
      <c r="E112" t="s">
        <v>28</v>
      </c>
      <c r="F112" t="s">
        <v>21</v>
      </c>
      <c r="G112" t="s">
        <v>14</v>
      </c>
      <c r="H112" t="s">
        <v>14</v>
      </c>
      <c r="I112" t="s">
        <v>25</v>
      </c>
    </row>
    <row r="113" spans="1:9" x14ac:dyDescent="0.25">
      <c r="A113" t="s">
        <v>67</v>
      </c>
      <c r="B113" t="s">
        <v>290</v>
      </c>
      <c r="C113" t="s">
        <v>291</v>
      </c>
      <c r="D113" t="s">
        <v>287</v>
      </c>
      <c r="E113" t="s">
        <v>28</v>
      </c>
      <c r="F113" t="s">
        <v>21</v>
      </c>
      <c r="G113" t="s">
        <v>14</v>
      </c>
      <c r="H113" t="s">
        <v>14</v>
      </c>
      <c r="I113" t="s">
        <v>25</v>
      </c>
    </row>
    <row r="114" spans="1:9" x14ac:dyDescent="0.25">
      <c r="A114" t="s">
        <v>67</v>
      </c>
      <c r="B114" t="s">
        <v>292</v>
      </c>
      <c r="C114" t="s">
        <v>293</v>
      </c>
      <c r="D114" t="s">
        <v>287</v>
      </c>
      <c r="E114" t="s">
        <v>28</v>
      </c>
      <c r="F114" t="s">
        <v>21</v>
      </c>
      <c r="G114" t="s">
        <v>14</v>
      </c>
      <c r="H114" t="s">
        <v>14</v>
      </c>
      <c r="I114" t="s">
        <v>25</v>
      </c>
    </row>
    <row r="115" spans="1:9" x14ac:dyDescent="0.25">
      <c r="A115" t="s">
        <v>495</v>
      </c>
      <c r="B115" t="s">
        <v>591</v>
      </c>
      <c r="C115" t="s">
        <v>592</v>
      </c>
      <c r="D115" t="s">
        <v>593</v>
      </c>
      <c r="E115" t="s">
        <v>28</v>
      </c>
      <c r="F115" t="s">
        <v>17</v>
      </c>
      <c r="G115" t="s">
        <v>14</v>
      </c>
      <c r="H115" t="s">
        <v>742</v>
      </c>
      <c r="I115" t="s">
        <v>30</v>
      </c>
    </row>
    <row r="116" spans="1:9" x14ac:dyDescent="0.25">
      <c r="A116" t="s">
        <v>495</v>
      </c>
      <c r="B116" t="s">
        <v>594</v>
      </c>
      <c r="C116" t="s">
        <v>595</v>
      </c>
      <c r="D116" t="s">
        <v>593</v>
      </c>
      <c r="E116" t="s">
        <v>28</v>
      </c>
      <c r="F116" t="s">
        <v>17</v>
      </c>
      <c r="G116" t="s">
        <v>14</v>
      </c>
      <c r="H116" t="s">
        <v>742</v>
      </c>
      <c r="I116" t="s">
        <v>30</v>
      </c>
    </row>
    <row r="117" spans="1:9" x14ac:dyDescent="0.25">
      <c r="A117" t="s">
        <v>495</v>
      </c>
      <c r="B117" t="s">
        <v>596</v>
      </c>
      <c r="C117" t="s">
        <v>597</v>
      </c>
      <c r="D117" t="s">
        <v>593</v>
      </c>
      <c r="E117" t="s">
        <v>28</v>
      </c>
      <c r="F117" t="s">
        <v>17</v>
      </c>
      <c r="G117" t="s">
        <v>14</v>
      </c>
      <c r="H117" t="s">
        <v>742</v>
      </c>
      <c r="I117" t="s">
        <v>30</v>
      </c>
    </row>
    <row r="118" spans="1:9" x14ac:dyDescent="0.25">
      <c r="A118" t="s">
        <v>495</v>
      </c>
      <c r="B118" t="s">
        <v>598</v>
      </c>
      <c r="C118" t="s">
        <v>599</v>
      </c>
      <c r="D118" t="s">
        <v>593</v>
      </c>
      <c r="E118" t="s">
        <v>28</v>
      </c>
      <c r="F118" t="s">
        <v>17</v>
      </c>
      <c r="G118" t="s">
        <v>14</v>
      </c>
      <c r="H118" t="s">
        <v>742</v>
      </c>
      <c r="I118" t="s">
        <v>30</v>
      </c>
    </row>
    <row r="119" spans="1:9" x14ac:dyDescent="0.25">
      <c r="A119" t="s">
        <v>496</v>
      </c>
      <c r="B119" t="s">
        <v>600</v>
      </c>
      <c r="C119" t="s">
        <v>601</v>
      </c>
      <c r="D119" t="s">
        <v>602</v>
      </c>
      <c r="E119" t="s">
        <v>28</v>
      </c>
      <c r="F119" t="s">
        <v>17</v>
      </c>
      <c r="G119" t="s">
        <v>14</v>
      </c>
      <c r="H119" t="s">
        <v>742</v>
      </c>
      <c r="I119" t="s">
        <v>15</v>
      </c>
    </row>
    <row r="120" spans="1:9" x14ac:dyDescent="0.25">
      <c r="A120" t="s">
        <v>496</v>
      </c>
      <c r="B120" t="s">
        <v>603</v>
      </c>
      <c r="C120" t="s">
        <v>604</v>
      </c>
      <c r="D120" t="s">
        <v>602</v>
      </c>
      <c r="E120" t="s">
        <v>28</v>
      </c>
      <c r="F120" t="s">
        <v>17</v>
      </c>
      <c r="G120" t="s">
        <v>14</v>
      </c>
      <c r="H120" t="s">
        <v>742</v>
      </c>
      <c r="I120" t="s">
        <v>15</v>
      </c>
    </row>
    <row r="121" spans="1:9" x14ac:dyDescent="0.25">
      <c r="A121" t="s">
        <v>496</v>
      </c>
      <c r="B121" t="s">
        <v>605</v>
      </c>
      <c r="C121" t="s">
        <v>606</v>
      </c>
      <c r="D121" t="s">
        <v>602</v>
      </c>
      <c r="E121" t="s">
        <v>28</v>
      </c>
      <c r="F121" t="s">
        <v>17</v>
      </c>
      <c r="G121" t="s">
        <v>14</v>
      </c>
      <c r="H121" t="s">
        <v>742</v>
      </c>
      <c r="I121" t="s">
        <v>15</v>
      </c>
    </row>
    <row r="122" spans="1:9" x14ac:dyDescent="0.25">
      <c r="A122" t="s">
        <v>496</v>
      </c>
      <c r="B122" t="s">
        <v>607</v>
      </c>
      <c r="C122" t="s">
        <v>608</v>
      </c>
      <c r="D122" t="s">
        <v>602</v>
      </c>
      <c r="E122" t="s">
        <v>28</v>
      </c>
      <c r="F122" t="s">
        <v>17</v>
      </c>
      <c r="G122" t="s">
        <v>14</v>
      </c>
      <c r="H122" t="s">
        <v>742</v>
      </c>
      <c r="I122" t="s">
        <v>15</v>
      </c>
    </row>
    <row r="123" spans="1:9" x14ac:dyDescent="0.25">
      <c r="A123" t="s">
        <v>497</v>
      </c>
      <c r="B123" t="s">
        <v>609</v>
      </c>
      <c r="C123" t="s">
        <v>610</v>
      </c>
      <c r="D123" t="s">
        <v>611</v>
      </c>
      <c r="E123" t="s">
        <v>28</v>
      </c>
      <c r="F123" t="s">
        <v>17</v>
      </c>
      <c r="G123" t="s">
        <v>14</v>
      </c>
      <c r="H123" t="s">
        <v>742</v>
      </c>
      <c r="I123" t="s">
        <v>25</v>
      </c>
    </row>
    <row r="124" spans="1:9" x14ac:dyDescent="0.25">
      <c r="A124" t="s">
        <v>497</v>
      </c>
      <c r="B124" t="s">
        <v>612</v>
      </c>
      <c r="C124" t="s">
        <v>613</v>
      </c>
      <c r="D124" t="s">
        <v>611</v>
      </c>
      <c r="E124" t="s">
        <v>28</v>
      </c>
      <c r="F124" t="s">
        <v>17</v>
      </c>
      <c r="G124" t="s">
        <v>14</v>
      </c>
      <c r="H124" t="s">
        <v>742</v>
      </c>
      <c r="I124" t="s">
        <v>25</v>
      </c>
    </row>
    <row r="125" spans="1:9" x14ac:dyDescent="0.25">
      <c r="A125" t="s">
        <v>497</v>
      </c>
      <c r="B125" t="s">
        <v>614</v>
      </c>
      <c r="C125" t="s">
        <v>615</v>
      </c>
      <c r="D125" t="s">
        <v>611</v>
      </c>
      <c r="E125" t="s">
        <v>28</v>
      </c>
      <c r="F125" t="s">
        <v>17</v>
      </c>
      <c r="G125" t="s">
        <v>14</v>
      </c>
      <c r="H125" t="s">
        <v>742</v>
      </c>
      <c r="I125" t="s">
        <v>25</v>
      </c>
    </row>
    <row r="126" spans="1:9" x14ac:dyDescent="0.25">
      <c r="A126" t="s">
        <v>497</v>
      </c>
      <c r="B126" t="s">
        <v>616</v>
      </c>
      <c r="C126" t="s">
        <v>617</v>
      </c>
      <c r="D126" t="s">
        <v>611</v>
      </c>
      <c r="E126" t="s">
        <v>28</v>
      </c>
      <c r="F126" t="s">
        <v>17</v>
      </c>
      <c r="G126" t="s">
        <v>14</v>
      </c>
      <c r="H126" t="s">
        <v>742</v>
      </c>
      <c r="I126" t="s">
        <v>25</v>
      </c>
    </row>
    <row r="127" spans="1:9" x14ac:dyDescent="0.25">
      <c r="A127" t="s">
        <v>498</v>
      </c>
      <c r="B127" t="s">
        <v>618</v>
      </c>
      <c r="C127" t="s">
        <v>619</v>
      </c>
      <c r="D127" t="s">
        <v>620</v>
      </c>
      <c r="E127" t="s">
        <v>28</v>
      </c>
      <c r="F127" t="s">
        <v>17</v>
      </c>
      <c r="G127" t="s">
        <v>14</v>
      </c>
      <c r="H127" t="s">
        <v>742</v>
      </c>
      <c r="I127" t="s">
        <v>16</v>
      </c>
    </row>
    <row r="128" spans="1:9" x14ac:dyDescent="0.25">
      <c r="A128" t="s">
        <v>498</v>
      </c>
      <c r="B128" t="s">
        <v>621</v>
      </c>
      <c r="C128" t="s">
        <v>622</v>
      </c>
      <c r="D128" t="s">
        <v>620</v>
      </c>
      <c r="E128" t="s">
        <v>28</v>
      </c>
      <c r="F128" t="s">
        <v>17</v>
      </c>
      <c r="G128" t="s">
        <v>14</v>
      </c>
      <c r="H128" t="s">
        <v>742</v>
      </c>
      <c r="I128" t="s">
        <v>16</v>
      </c>
    </row>
    <row r="129" spans="1:9" x14ac:dyDescent="0.25">
      <c r="A129" t="s">
        <v>498</v>
      </c>
      <c r="B129" t="s">
        <v>623</v>
      </c>
      <c r="C129" t="s">
        <v>624</v>
      </c>
      <c r="D129" t="s">
        <v>620</v>
      </c>
      <c r="E129" t="s">
        <v>28</v>
      </c>
      <c r="F129" t="s">
        <v>17</v>
      </c>
      <c r="G129" t="s">
        <v>14</v>
      </c>
      <c r="H129" t="s">
        <v>742</v>
      </c>
      <c r="I129" t="s">
        <v>16</v>
      </c>
    </row>
    <row r="130" spans="1:9" x14ac:dyDescent="0.25">
      <c r="A130" t="s">
        <v>498</v>
      </c>
      <c r="B130" t="s">
        <v>625</v>
      </c>
      <c r="C130" t="s">
        <v>626</v>
      </c>
      <c r="D130" t="s">
        <v>620</v>
      </c>
      <c r="E130" t="s">
        <v>28</v>
      </c>
      <c r="F130" t="s">
        <v>17</v>
      </c>
      <c r="G130" t="s">
        <v>14</v>
      </c>
      <c r="H130" t="s">
        <v>742</v>
      </c>
      <c r="I130" t="s">
        <v>16</v>
      </c>
    </row>
    <row r="131" spans="1:9" x14ac:dyDescent="0.25">
      <c r="A131" t="s">
        <v>499</v>
      </c>
      <c r="B131" t="s">
        <v>627</v>
      </c>
      <c r="C131" t="s">
        <v>628</v>
      </c>
      <c r="D131" t="s">
        <v>629</v>
      </c>
      <c r="E131" t="s">
        <v>28</v>
      </c>
      <c r="F131" t="s">
        <v>17</v>
      </c>
      <c r="G131" t="s">
        <v>14</v>
      </c>
      <c r="H131" t="s">
        <v>742</v>
      </c>
      <c r="I131" t="s">
        <v>30</v>
      </c>
    </row>
    <row r="132" spans="1:9" x14ac:dyDescent="0.25">
      <c r="A132" t="s">
        <v>499</v>
      </c>
      <c r="B132" t="s">
        <v>630</v>
      </c>
      <c r="C132" t="s">
        <v>631</v>
      </c>
      <c r="D132" t="s">
        <v>629</v>
      </c>
      <c r="E132" t="s">
        <v>28</v>
      </c>
      <c r="F132" t="s">
        <v>17</v>
      </c>
      <c r="G132" t="s">
        <v>14</v>
      </c>
      <c r="H132" t="s">
        <v>742</v>
      </c>
      <c r="I132" t="s">
        <v>30</v>
      </c>
    </row>
    <row r="133" spans="1:9" x14ac:dyDescent="0.25">
      <c r="A133" t="s">
        <v>42</v>
      </c>
      <c r="B133" t="s">
        <v>632</v>
      </c>
      <c r="C133" t="s">
        <v>633</v>
      </c>
      <c r="D133" t="s">
        <v>296</v>
      </c>
      <c r="E133" t="s">
        <v>28</v>
      </c>
      <c r="F133" t="s">
        <v>17</v>
      </c>
      <c r="G133" t="s">
        <v>14</v>
      </c>
      <c r="H133" t="s">
        <v>742</v>
      </c>
      <c r="I133" t="s">
        <v>25</v>
      </c>
    </row>
    <row r="134" spans="1:9" x14ac:dyDescent="0.25">
      <c r="A134" t="s">
        <v>42</v>
      </c>
      <c r="B134" t="s">
        <v>294</v>
      </c>
      <c r="C134" t="s">
        <v>295</v>
      </c>
      <c r="D134" t="s">
        <v>296</v>
      </c>
      <c r="E134" t="s">
        <v>28</v>
      </c>
      <c r="F134" t="s">
        <v>17</v>
      </c>
      <c r="G134" t="s">
        <v>14</v>
      </c>
      <c r="H134" t="s">
        <v>742</v>
      </c>
      <c r="I134" t="s">
        <v>25</v>
      </c>
    </row>
    <row r="135" spans="1:9" x14ac:dyDescent="0.25">
      <c r="A135" t="s">
        <v>42</v>
      </c>
      <c r="B135" t="s">
        <v>634</v>
      </c>
      <c r="C135" t="s">
        <v>635</v>
      </c>
      <c r="D135" t="s">
        <v>296</v>
      </c>
      <c r="E135" t="s">
        <v>28</v>
      </c>
      <c r="F135" t="s">
        <v>17</v>
      </c>
      <c r="G135" t="s">
        <v>14</v>
      </c>
      <c r="H135" t="s">
        <v>742</v>
      </c>
      <c r="I135" t="s">
        <v>25</v>
      </c>
    </row>
    <row r="136" spans="1:9" x14ac:dyDescent="0.25">
      <c r="A136" t="s">
        <v>42</v>
      </c>
      <c r="B136" t="s">
        <v>636</v>
      </c>
      <c r="C136" t="s">
        <v>637</v>
      </c>
      <c r="D136" t="s">
        <v>296</v>
      </c>
      <c r="E136" t="s">
        <v>28</v>
      </c>
      <c r="F136" t="s">
        <v>17</v>
      </c>
      <c r="G136" t="s">
        <v>14</v>
      </c>
      <c r="H136" t="s">
        <v>742</v>
      </c>
      <c r="I136" t="s">
        <v>25</v>
      </c>
    </row>
    <row r="137" spans="1:9" x14ac:dyDescent="0.25">
      <c r="A137" t="s">
        <v>50</v>
      </c>
      <c r="B137" t="s">
        <v>297</v>
      </c>
      <c r="C137" t="s">
        <v>298</v>
      </c>
      <c r="D137" t="s">
        <v>299</v>
      </c>
      <c r="E137" t="s">
        <v>28</v>
      </c>
      <c r="F137" t="s">
        <v>17</v>
      </c>
      <c r="G137" t="s">
        <v>14</v>
      </c>
      <c r="H137" t="s">
        <v>14</v>
      </c>
      <c r="I137" t="s">
        <v>300</v>
      </c>
    </row>
    <row r="138" spans="1:9" x14ac:dyDescent="0.25">
      <c r="A138" t="s">
        <v>50</v>
      </c>
      <c r="B138" t="s">
        <v>301</v>
      </c>
      <c r="C138" t="s">
        <v>302</v>
      </c>
      <c r="D138" t="s">
        <v>299</v>
      </c>
      <c r="E138" t="s">
        <v>28</v>
      </c>
      <c r="F138" t="s">
        <v>17</v>
      </c>
      <c r="G138" t="s">
        <v>14</v>
      </c>
      <c r="H138" t="s">
        <v>14</v>
      </c>
      <c r="I138" t="s">
        <v>300</v>
      </c>
    </row>
    <row r="139" spans="1:9" x14ac:dyDescent="0.25">
      <c r="A139" t="s">
        <v>50</v>
      </c>
      <c r="B139" t="s">
        <v>303</v>
      </c>
      <c r="C139" t="s">
        <v>304</v>
      </c>
      <c r="D139" t="s">
        <v>299</v>
      </c>
      <c r="E139" t="s">
        <v>28</v>
      </c>
      <c r="F139" t="s">
        <v>17</v>
      </c>
      <c r="G139" t="s">
        <v>14</v>
      </c>
      <c r="H139" t="s">
        <v>14</v>
      </c>
      <c r="I139" t="s">
        <v>300</v>
      </c>
    </row>
    <row r="140" spans="1:9" x14ac:dyDescent="0.25">
      <c r="A140" t="s">
        <v>50</v>
      </c>
      <c r="B140" t="s">
        <v>305</v>
      </c>
      <c r="C140" t="s">
        <v>306</v>
      </c>
      <c r="D140" t="s">
        <v>299</v>
      </c>
      <c r="E140" t="s">
        <v>28</v>
      </c>
      <c r="F140" t="s">
        <v>17</v>
      </c>
      <c r="G140" t="s">
        <v>14</v>
      </c>
      <c r="H140" t="s">
        <v>14</v>
      </c>
      <c r="I140" t="s">
        <v>300</v>
      </c>
    </row>
    <row r="141" spans="1:9" x14ac:dyDescent="0.25">
      <c r="A141" t="s">
        <v>53</v>
      </c>
      <c r="B141" t="s">
        <v>307</v>
      </c>
      <c r="C141" t="s">
        <v>308</v>
      </c>
      <c r="D141" t="s">
        <v>309</v>
      </c>
      <c r="E141" t="s">
        <v>28</v>
      </c>
      <c r="F141" t="s">
        <v>17</v>
      </c>
      <c r="G141" t="s">
        <v>14</v>
      </c>
      <c r="H141" t="s">
        <v>14</v>
      </c>
      <c r="I141" t="s">
        <v>34</v>
      </c>
    </row>
    <row r="142" spans="1:9" x14ac:dyDescent="0.25">
      <c r="A142" t="s">
        <v>53</v>
      </c>
      <c r="B142" t="s">
        <v>310</v>
      </c>
      <c r="C142" t="s">
        <v>311</v>
      </c>
      <c r="D142" t="s">
        <v>309</v>
      </c>
      <c r="E142" t="s">
        <v>28</v>
      </c>
      <c r="F142" t="s">
        <v>17</v>
      </c>
      <c r="G142" t="s">
        <v>14</v>
      </c>
      <c r="H142" t="s">
        <v>14</v>
      </c>
      <c r="I142" t="s">
        <v>34</v>
      </c>
    </row>
    <row r="143" spans="1:9" x14ac:dyDescent="0.25">
      <c r="A143" t="s">
        <v>53</v>
      </c>
      <c r="B143" t="s">
        <v>312</v>
      </c>
      <c r="C143" t="s">
        <v>313</v>
      </c>
      <c r="D143" t="s">
        <v>309</v>
      </c>
      <c r="E143" t="s">
        <v>28</v>
      </c>
      <c r="F143" t="s">
        <v>17</v>
      </c>
      <c r="G143" t="s">
        <v>14</v>
      </c>
      <c r="H143" t="s">
        <v>14</v>
      </c>
      <c r="I143" t="s">
        <v>34</v>
      </c>
    </row>
    <row r="144" spans="1:9" x14ac:dyDescent="0.25">
      <c r="A144" t="s">
        <v>53</v>
      </c>
      <c r="B144" t="s">
        <v>314</v>
      </c>
      <c r="C144" t="s">
        <v>315</v>
      </c>
      <c r="D144" t="s">
        <v>309</v>
      </c>
      <c r="E144" t="s">
        <v>28</v>
      </c>
      <c r="F144" t="s">
        <v>17</v>
      </c>
      <c r="G144" t="s">
        <v>14</v>
      </c>
      <c r="H144" t="s">
        <v>14</v>
      </c>
      <c r="I144" t="s">
        <v>34</v>
      </c>
    </row>
    <row r="145" spans="1:9" x14ac:dyDescent="0.25">
      <c r="A145" t="s">
        <v>56</v>
      </c>
      <c r="B145" t="s">
        <v>638</v>
      </c>
      <c r="C145" t="s">
        <v>639</v>
      </c>
      <c r="D145" t="s">
        <v>318</v>
      </c>
      <c r="E145" t="s">
        <v>28</v>
      </c>
      <c r="F145" t="s">
        <v>17</v>
      </c>
      <c r="G145" t="s">
        <v>14</v>
      </c>
      <c r="H145" t="s">
        <v>14</v>
      </c>
      <c r="I145" t="s">
        <v>36</v>
      </c>
    </row>
    <row r="146" spans="1:9" x14ac:dyDescent="0.25">
      <c r="A146" t="s">
        <v>56</v>
      </c>
      <c r="B146" t="s">
        <v>316</v>
      </c>
      <c r="C146" t="s">
        <v>317</v>
      </c>
      <c r="D146" t="s">
        <v>318</v>
      </c>
      <c r="E146" t="s">
        <v>28</v>
      </c>
      <c r="F146" t="s">
        <v>17</v>
      </c>
      <c r="G146" t="s">
        <v>14</v>
      </c>
      <c r="H146" t="s">
        <v>14</v>
      </c>
      <c r="I146" t="s">
        <v>36</v>
      </c>
    </row>
    <row r="147" spans="1:9" x14ac:dyDescent="0.25">
      <c r="A147" t="s">
        <v>56</v>
      </c>
      <c r="B147" t="s">
        <v>319</v>
      </c>
      <c r="C147" t="s">
        <v>320</v>
      </c>
      <c r="D147" t="s">
        <v>318</v>
      </c>
      <c r="E147" t="s">
        <v>28</v>
      </c>
      <c r="F147" t="s">
        <v>17</v>
      </c>
      <c r="G147" t="s">
        <v>14</v>
      </c>
      <c r="H147" t="s">
        <v>14</v>
      </c>
      <c r="I147" t="s">
        <v>36</v>
      </c>
    </row>
    <row r="148" spans="1:9" x14ac:dyDescent="0.25">
      <c r="A148" t="s">
        <v>56</v>
      </c>
      <c r="B148" t="s">
        <v>640</v>
      </c>
      <c r="C148" t="s">
        <v>641</v>
      </c>
      <c r="D148" t="s">
        <v>318</v>
      </c>
      <c r="E148" t="s">
        <v>28</v>
      </c>
      <c r="F148" t="s">
        <v>17</v>
      </c>
      <c r="G148" t="s">
        <v>14</v>
      </c>
      <c r="H148" t="s">
        <v>14</v>
      </c>
      <c r="I148" t="s">
        <v>36</v>
      </c>
    </row>
    <row r="149" spans="1:9" x14ac:dyDescent="0.25">
      <c r="A149" t="s">
        <v>48</v>
      </c>
      <c r="B149" t="s">
        <v>321</v>
      </c>
      <c r="C149" t="s">
        <v>322</v>
      </c>
      <c r="D149" t="s">
        <v>323</v>
      </c>
      <c r="E149" t="s">
        <v>28</v>
      </c>
      <c r="F149" t="s">
        <v>17</v>
      </c>
      <c r="G149" t="s">
        <v>14</v>
      </c>
      <c r="H149" t="s">
        <v>14</v>
      </c>
      <c r="I149" t="s">
        <v>16</v>
      </c>
    </row>
    <row r="150" spans="1:9" x14ac:dyDescent="0.25">
      <c r="A150" t="s">
        <v>48</v>
      </c>
      <c r="B150" t="s">
        <v>324</v>
      </c>
      <c r="C150" t="s">
        <v>325</v>
      </c>
      <c r="D150" t="s">
        <v>323</v>
      </c>
      <c r="E150" t="s">
        <v>28</v>
      </c>
      <c r="F150" t="s">
        <v>17</v>
      </c>
      <c r="G150" t="s">
        <v>14</v>
      </c>
      <c r="H150" t="s">
        <v>14</v>
      </c>
      <c r="I150" t="s">
        <v>16</v>
      </c>
    </row>
    <row r="151" spans="1:9" x14ac:dyDescent="0.25">
      <c r="A151" t="s">
        <v>48</v>
      </c>
      <c r="B151" t="s">
        <v>326</v>
      </c>
      <c r="C151" t="s">
        <v>327</v>
      </c>
      <c r="D151" t="s">
        <v>323</v>
      </c>
      <c r="E151" t="s">
        <v>28</v>
      </c>
      <c r="F151" t="s">
        <v>17</v>
      </c>
      <c r="G151" t="s">
        <v>14</v>
      </c>
      <c r="H151" t="s">
        <v>14</v>
      </c>
      <c r="I151" t="s">
        <v>16</v>
      </c>
    </row>
    <row r="152" spans="1:9" x14ac:dyDescent="0.25">
      <c r="A152" t="s">
        <v>48</v>
      </c>
      <c r="B152" t="s">
        <v>328</v>
      </c>
      <c r="C152" t="s">
        <v>329</v>
      </c>
      <c r="D152" t="s">
        <v>323</v>
      </c>
      <c r="E152" t="s">
        <v>28</v>
      </c>
      <c r="F152" t="s">
        <v>17</v>
      </c>
      <c r="G152" t="s">
        <v>14</v>
      </c>
      <c r="H152" t="s">
        <v>14</v>
      </c>
      <c r="I152" t="s">
        <v>16</v>
      </c>
    </row>
    <row r="153" spans="1:9" x14ac:dyDescent="0.25">
      <c r="A153" t="s">
        <v>49</v>
      </c>
      <c r="B153" t="s">
        <v>330</v>
      </c>
      <c r="C153" t="s">
        <v>331</v>
      </c>
      <c r="D153" t="s">
        <v>332</v>
      </c>
      <c r="E153" t="s">
        <v>28</v>
      </c>
      <c r="F153" t="s">
        <v>17</v>
      </c>
      <c r="G153" t="s">
        <v>14</v>
      </c>
      <c r="H153" t="s">
        <v>14</v>
      </c>
      <c r="I153" t="s">
        <v>30</v>
      </c>
    </row>
    <row r="154" spans="1:9" x14ac:dyDescent="0.25">
      <c r="A154" t="s">
        <v>49</v>
      </c>
      <c r="B154" t="s">
        <v>333</v>
      </c>
      <c r="C154" t="s">
        <v>334</v>
      </c>
      <c r="D154" t="s">
        <v>332</v>
      </c>
      <c r="E154" t="s">
        <v>28</v>
      </c>
      <c r="F154" t="s">
        <v>17</v>
      </c>
      <c r="G154" t="s">
        <v>14</v>
      </c>
      <c r="H154" t="s">
        <v>14</v>
      </c>
      <c r="I154" t="s">
        <v>30</v>
      </c>
    </row>
    <row r="155" spans="1:9" x14ac:dyDescent="0.25">
      <c r="A155" t="s">
        <v>49</v>
      </c>
      <c r="B155" t="s">
        <v>335</v>
      </c>
      <c r="C155" t="s">
        <v>336</v>
      </c>
      <c r="D155" t="s">
        <v>332</v>
      </c>
      <c r="E155" t="s">
        <v>28</v>
      </c>
      <c r="F155" t="s">
        <v>17</v>
      </c>
      <c r="G155" t="s">
        <v>14</v>
      </c>
      <c r="H155" t="s">
        <v>14</v>
      </c>
      <c r="I155" t="s">
        <v>30</v>
      </c>
    </row>
    <row r="156" spans="1:9" x14ac:dyDescent="0.25">
      <c r="A156" t="s">
        <v>49</v>
      </c>
      <c r="B156" t="s">
        <v>337</v>
      </c>
      <c r="C156" t="s">
        <v>338</v>
      </c>
      <c r="D156" t="s">
        <v>332</v>
      </c>
      <c r="E156" t="s">
        <v>28</v>
      </c>
      <c r="F156" t="s">
        <v>17</v>
      </c>
      <c r="G156" t="s">
        <v>14</v>
      </c>
      <c r="H156" t="s">
        <v>14</v>
      </c>
      <c r="I156" t="s">
        <v>30</v>
      </c>
    </row>
    <row r="157" spans="1:9" x14ac:dyDescent="0.25">
      <c r="A157" t="s">
        <v>54</v>
      </c>
      <c r="B157" t="s">
        <v>339</v>
      </c>
      <c r="C157" t="s">
        <v>340</v>
      </c>
      <c r="D157" t="s">
        <v>341</v>
      </c>
      <c r="E157" t="s">
        <v>28</v>
      </c>
      <c r="F157" t="s">
        <v>17</v>
      </c>
      <c r="G157" t="s">
        <v>14</v>
      </c>
      <c r="H157" t="s">
        <v>14</v>
      </c>
      <c r="I157" t="s">
        <v>15</v>
      </c>
    </row>
    <row r="158" spans="1:9" x14ac:dyDescent="0.25">
      <c r="A158" t="s">
        <v>54</v>
      </c>
      <c r="B158" t="s">
        <v>342</v>
      </c>
      <c r="C158" t="s">
        <v>343</v>
      </c>
      <c r="D158" t="s">
        <v>341</v>
      </c>
      <c r="E158" t="s">
        <v>28</v>
      </c>
      <c r="F158" t="s">
        <v>17</v>
      </c>
      <c r="G158" t="s">
        <v>14</v>
      </c>
      <c r="H158" t="s">
        <v>14</v>
      </c>
      <c r="I158" t="s">
        <v>15</v>
      </c>
    </row>
    <row r="159" spans="1:9" x14ac:dyDescent="0.25">
      <c r="A159" t="s">
        <v>54</v>
      </c>
      <c r="B159" t="s">
        <v>344</v>
      </c>
      <c r="C159" t="s">
        <v>345</v>
      </c>
      <c r="D159" t="s">
        <v>341</v>
      </c>
      <c r="E159" t="s">
        <v>28</v>
      </c>
      <c r="F159" t="s">
        <v>17</v>
      </c>
      <c r="G159" t="s">
        <v>14</v>
      </c>
      <c r="H159" t="s">
        <v>14</v>
      </c>
      <c r="I159" t="s">
        <v>15</v>
      </c>
    </row>
    <row r="160" spans="1:9" x14ac:dyDescent="0.25">
      <c r="A160" t="s">
        <v>54</v>
      </c>
      <c r="B160" t="s">
        <v>346</v>
      </c>
      <c r="C160" t="s">
        <v>347</v>
      </c>
      <c r="D160" t="s">
        <v>341</v>
      </c>
      <c r="E160" t="s">
        <v>28</v>
      </c>
      <c r="F160" t="s">
        <v>17</v>
      </c>
      <c r="G160" t="s">
        <v>14</v>
      </c>
      <c r="H160" t="s">
        <v>14</v>
      </c>
      <c r="I160" t="s">
        <v>15</v>
      </c>
    </row>
    <row r="161" spans="1:9" x14ac:dyDescent="0.25">
      <c r="A161" t="s">
        <v>51</v>
      </c>
      <c r="B161" t="s">
        <v>348</v>
      </c>
      <c r="C161" t="s">
        <v>349</v>
      </c>
      <c r="D161" t="s">
        <v>350</v>
      </c>
      <c r="E161" t="s">
        <v>28</v>
      </c>
      <c r="F161" t="s">
        <v>17</v>
      </c>
      <c r="G161" t="s">
        <v>14</v>
      </c>
      <c r="H161" t="s">
        <v>14</v>
      </c>
      <c r="I161" t="s">
        <v>25</v>
      </c>
    </row>
    <row r="162" spans="1:9" x14ac:dyDescent="0.25">
      <c r="A162" t="s">
        <v>51</v>
      </c>
      <c r="B162" t="s">
        <v>351</v>
      </c>
      <c r="C162" t="s">
        <v>352</v>
      </c>
      <c r="D162" t="s">
        <v>350</v>
      </c>
      <c r="E162" t="s">
        <v>28</v>
      </c>
      <c r="F162" t="s">
        <v>17</v>
      </c>
      <c r="G162" t="s">
        <v>14</v>
      </c>
      <c r="H162" t="s">
        <v>14</v>
      </c>
      <c r="I162" t="s">
        <v>25</v>
      </c>
    </row>
    <row r="163" spans="1:9" x14ac:dyDescent="0.25">
      <c r="A163" t="s">
        <v>51</v>
      </c>
      <c r="B163" t="s">
        <v>353</v>
      </c>
      <c r="C163" t="s">
        <v>354</v>
      </c>
      <c r="D163" t="s">
        <v>350</v>
      </c>
      <c r="E163" t="s">
        <v>28</v>
      </c>
      <c r="F163" t="s">
        <v>17</v>
      </c>
      <c r="G163" t="s">
        <v>14</v>
      </c>
      <c r="H163" t="s">
        <v>14</v>
      </c>
      <c r="I163" t="s">
        <v>25</v>
      </c>
    </row>
    <row r="164" spans="1:9" x14ac:dyDescent="0.25">
      <c r="A164" t="s">
        <v>51</v>
      </c>
      <c r="B164" t="s">
        <v>355</v>
      </c>
      <c r="C164" t="s">
        <v>356</v>
      </c>
      <c r="D164" t="s">
        <v>350</v>
      </c>
      <c r="E164" t="s">
        <v>28</v>
      </c>
      <c r="F164" t="s">
        <v>17</v>
      </c>
      <c r="G164" t="s">
        <v>14</v>
      </c>
      <c r="H164" t="s">
        <v>14</v>
      </c>
      <c r="I164" t="s">
        <v>25</v>
      </c>
    </row>
    <row r="165" spans="1:9" x14ac:dyDescent="0.25">
      <c r="A165" t="s">
        <v>55</v>
      </c>
      <c r="B165" t="s">
        <v>642</v>
      </c>
      <c r="C165" t="s">
        <v>643</v>
      </c>
      <c r="D165" t="s">
        <v>359</v>
      </c>
      <c r="E165" t="s">
        <v>28</v>
      </c>
      <c r="F165" t="s">
        <v>17</v>
      </c>
      <c r="G165" t="s">
        <v>14</v>
      </c>
      <c r="H165" t="s">
        <v>14</v>
      </c>
      <c r="I165" t="s">
        <v>15</v>
      </c>
    </row>
    <row r="166" spans="1:9" x14ac:dyDescent="0.25">
      <c r="A166" t="s">
        <v>55</v>
      </c>
      <c r="B166" t="s">
        <v>357</v>
      </c>
      <c r="C166" t="s">
        <v>358</v>
      </c>
      <c r="D166" t="s">
        <v>359</v>
      </c>
      <c r="E166" t="s">
        <v>28</v>
      </c>
      <c r="F166" t="s">
        <v>17</v>
      </c>
      <c r="G166" t="s">
        <v>14</v>
      </c>
      <c r="H166" t="s">
        <v>14</v>
      </c>
      <c r="I166" t="s">
        <v>15</v>
      </c>
    </row>
    <row r="167" spans="1:9" x14ac:dyDescent="0.25">
      <c r="A167" t="s">
        <v>55</v>
      </c>
      <c r="B167" t="s">
        <v>644</v>
      </c>
      <c r="C167" t="s">
        <v>645</v>
      </c>
      <c r="D167" t="s">
        <v>359</v>
      </c>
      <c r="E167" t="s">
        <v>28</v>
      </c>
      <c r="F167" t="s">
        <v>17</v>
      </c>
      <c r="G167" t="s">
        <v>14</v>
      </c>
      <c r="H167" t="s">
        <v>14</v>
      </c>
      <c r="I167" t="s">
        <v>15</v>
      </c>
    </row>
    <row r="168" spans="1:9" x14ac:dyDescent="0.25">
      <c r="A168" t="s">
        <v>55</v>
      </c>
      <c r="B168" t="s">
        <v>360</v>
      </c>
      <c r="C168" t="s">
        <v>361</v>
      </c>
      <c r="D168" t="s">
        <v>359</v>
      </c>
      <c r="E168" t="s">
        <v>28</v>
      </c>
      <c r="F168" t="s">
        <v>17</v>
      </c>
      <c r="G168" t="s">
        <v>14</v>
      </c>
      <c r="H168" t="s">
        <v>14</v>
      </c>
      <c r="I168" t="s">
        <v>15</v>
      </c>
    </row>
    <row r="169" spans="1:9" x14ac:dyDescent="0.25">
      <c r="A169" t="s">
        <v>52</v>
      </c>
      <c r="B169" t="s">
        <v>362</v>
      </c>
      <c r="C169" t="s">
        <v>363</v>
      </c>
      <c r="D169" t="s">
        <v>364</v>
      </c>
      <c r="E169" t="s">
        <v>28</v>
      </c>
      <c r="F169" t="s">
        <v>17</v>
      </c>
      <c r="G169" t="s">
        <v>14</v>
      </c>
      <c r="H169" t="s">
        <v>14</v>
      </c>
      <c r="I169" t="s">
        <v>25</v>
      </c>
    </row>
    <row r="170" spans="1:9" x14ac:dyDescent="0.25">
      <c r="A170" t="s">
        <v>52</v>
      </c>
      <c r="B170" t="s">
        <v>365</v>
      </c>
      <c r="C170" t="s">
        <v>366</v>
      </c>
      <c r="D170" t="s">
        <v>364</v>
      </c>
      <c r="E170" t="s">
        <v>28</v>
      </c>
      <c r="F170" t="s">
        <v>17</v>
      </c>
      <c r="G170" t="s">
        <v>14</v>
      </c>
      <c r="H170" t="s">
        <v>14</v>
      </c>
      <c r="I170" t="s">
        <v>25</v>
      </c>
    </row>
    <row r="171" spans="1:9" x14ac:dyDescent="0.25">
      <c r="A171" t="s">
        <v>52</v>
      </c>
      <c r="B171" t="s">
        <v>367</v>
      </c>
      <c r="C171" t="s">
        <v>368</v>
      </c>
      <c r="D171" t="s">
        <v>364</v>
      </c>
      <c r="E171" t="s">
        <v>28</v>
      </c>
      <c r="F171" t="s">
        <v>17</v>
      </c>
      <c r="G171" t="s">
        <v>14</v>
      </c>
      <c r="H171" t="s">
        <v>14</v>
      </c>
      <c r="I171" t="s">
        <v>25</v>
      </c>
    </row>
    <row r="172" spans="1:9" x14ac:dyDescent="0.25">
      <c r="A172" t="s">
        <v>52</v>
      </c>
      <c r="B172" t="s">
        <v>369</v>
      </c>
      <c r="C172" t="s">
        <v>370</v>
      </c>
      <c r="D172" t="s">
        <v>364</v>
      </c>
      <c r="E172" t="s">
        <v>28</v>
      </c>
      <c r="F172" t="s">
        <v>17</v>
      </c>
      <c r="G172" t="s">
        <v>14</v>
      </c>
      <c r="H172" t="s">
        <v>14</v>
      </c>
      <c r="I172" t="s">
        <v>25</v>
      </c>
    </row>
    <row r="173" spans="1:9" x14ac:dyDescent="0.25">
      <c r="A173" t="s">
        <v>501</v>
      </c>
      <c r="B173" t="s">
        <v>646</v>
      </c>
      <c r="C173" t="s">
        <v>647</v>
      </c>
      <c r="D173" t="s">
        <v>648</v>
      </c>
      <c r="E173" t="s">
        <v>28</v>
      </c>
      <c r="F173" t="s">
        <v>17</v>
      </c>
      <c r="G173" t="s">
        <v>14</v>
      </c>
      <c r="H173" t="s">
        <v>14</v>
      </c>
      <c r="I173" t="s">
        <v>15</v>
      </c>
    </row>
    <row r="174" spans="1:9" x14ac:dyDescent="0.25">
      <c r="A174" t="s">
        <v>501</v>
      </c>
      <c r="B174" t="s">
        <v>649</v>
      </c>
      <c r="C174" t="s">
        <v>650</v>
      </c>
      <c r="D174" t="s">
        <v>648</v>
      </c>
      <c r="E174" t="s">
        <v>28</v>
      </c>
      <c r="F174" t="s">
        <v>17</v>
      </c>
      <c r="G174" t="s">
        <v>14</v>
      </c>
      <c r="H174" t="s">
        <v>14</v>
      </c>
      <c r="I174" t="s">
        <v>15</v>
      </c>
    </row>
    <row r="175" spans="1:9" x14ac:dyDescent="0.25">
      <c r="A175" t="s">
        <v>502</v>
      </c>
      <c r="B175" t="s">
        <v>651</v>
      </c>
      <c r="C175" t="s">
        <v>652</v>
      </c>
      <c r="D175" t="s">
        <v>653</v>
      </c>
      <c r="E175" t="s">
        <v>28</v>
      </c>
      <c r="F175" t="s">
        <v>17</v>
      </c>
      <c r="G175" t="s">
        <v>14</v>
      </c>
      <c r="H175" t="s">
        <v>14</v>
      </c>
      <c r="I175" t="s">
        <v>15</v>
      </c>
    </row>
    <row r="176" spans="1:9" x14ac:dyDescent="0.25">
      <c r="A176" t="s">
        <v>502</v>
      </c>
      <c r="B176" t="s">
        <v>654</v>
      </c>
      <c r="C176" t="s">
        <v>655</v>
      </c>
      <c r="D176" t="s">
        <v>653</v>
      </c>
      <c r="E176" t="s">
        <v>28</v>
      </c>
      <c r="F176" t="s">
        <v>17</v>
      </c>
      <c r="G176" t="s">
        <v>14</v>
      </c>
      <c r="H176" t="s">
        <v>14</v>
      </c>
      <c r="I176" t="s">
        <v>15</v>
      </c>
    </row>
    <row r="177" spans="1:9" x14ac:dyDescent="0.25">
      <c r="A177" t="s">
        <v>502</v>
      </c>
      <c r="B177" t="s">
        <v>656</v>
      </c>
      <c r="C177" t="s">
        <v>657</v>
      </c>
      <c r="D177" t="s">
        <v>653</v>
      </c>
      <c r="E177" t="s">
        <v>28</v>
      </c>
      <c r="F177" t="s">
        <v>17</v>
      </c>
      <c r="G177" t="s">
        <v>14</v>
      </c>
      <c r="H177" t="s">
        <v>14</v>
      </c>
      <c r="I177" t="s">
        <v>15</v>
      </c>
    </row>
    <row r="178" spans="1:9" x14ac:dyDescent="0.25">
      <c r="A178" t="s">
        <v>502</v>
      </c>
      <c r="B178" t="s">
        <v>658</v>
      </c>
      <c r="C178" t="s">
        <v>659</v>
      </c>
      <c r="D178" t="s">
        <v>653</v>
      </c>
      <c r="E178" t="s">
        <v>28</v>
      </c>
      <c r="F178" t="s">
        <v>17</v>
      </c>
      <c r="G178" t="s">
        <v>14</v>
      </c>
      <c r="H178" t="s">
        <v>14</v>
      </c>
      <c r="I178" t="s">
        <v>15</v>
      </c>
    </row>
    <row r="179" spans="1:9" x14ac:dyDescent="0.25">
      <c r="A179" t="s">
        <v>503</v>
      </c>
      <c r="B179" t="s">
        <v>660</v>
      </c>
      <c r="C179" t="s">
        <v>661</v>
      </c>
      <c r="D179" t="s">
        <v>662</v>
      </c>
      <c r="E179" t="s">
        <v>28</v>
      </c>
      <c r="F179" t="s">
        <v>17</v>
      </c>
      <c r="G179" t="s">
        <v>14</v>
      </c>
      <c r="H179" t="s">
        <v>14</v>
      </c>
      <c r="I179" t="s">
        <v>663</v>
      </c>
    </row>
    <row r="180" spans="1:9" x14ac:dyDescent="0.25">
      <c r="A180" t="s">
        <v>503</v>
      </c>
      <c r="B180" t="s">
        <v>664</v>
      </c>
      <c r="C180" t="s">
        <v>665</v>
      </c>
      <c r="D180" t="s">
        <v>662</v>
      </c>
      <c r="E180" t="s">
        <v>28</v>
      </c>
      <c r="F180" t="s">
        <v>17</v>
      </c>
      <c r="G180" t="s">
        <v>14</v>
      </c>
      <c r="H180" t="s">
        <v>14</v>
      </c>
      <c r="I180" t="s">
        <v>663</v>
      </c>
    </row>
    <row r="181" spans="1:9" x14ac:dyDescent="0.25">
      <c r="A181" t="s">
        <v>504</v>
      </c>
      <c r="B181" t="s">
        <v>666</v>
      </c>
      <c r="C181" t="s">
        <v>667</v>
      </c>
      <c r="D181" t="s">
        <v>668</v>
      </c>
      <c r="E181" t="s">
        <v>28</v>
      </c>
      <c r="F181" t="s">
        <v>17</v>
      </c>
      <c r="G181" t="s">
        <v>14</v>
      </c>
      <c r="H181" t="s">
        <v>14</v>
      </c>
      <c r="I181" t="s">
        <v>669</v>
      </c>
    </row>
    <row r="182" spans="1:9" x14ac:dyDescent="0.25">
      <c r="A182" t="s">
        <v>504</v>
      </c>
      <c r="B182" t="s">
        <v>670</v>
      </c>
      <c r="C182" t="s">
        <v>671</v>
      </c>
      <c r="D182" t="s">
        <v>668</v>
      </c>
      <c r="E182" t="s">
        <v>28</v>
      </c>
      <c r="F182" t="s">
        <v>17</v>
      </c>
      <c r="G182" t="s">
        <v>14</v>
      </c>
      <c r="H182" t="s">
        <v>14</v>
      </c>
      <c r="I182" t="s">
        <v>669</v>
      </c>
    </row>
    <row r="183" spans="1:9" x14ac:dyDescent="0.25">
      <c r="A183" t="s">
        <v>505</v>
      </c>
      <c r="B183" t="s">
        <v>672</v>
      </c>
      <c r="C183" t="s">
        <v>673</v>
      </c>
      <c r="D183" t="s">
        <v>674</v>
      </c>
      <c r="E183" t="s">
        <v>28</v>
      </c>
      <c r="F183" t="s">
        <v>17</v>
      </c>
      <c r="G183" t="s">
        <v>14</v>
      </c>
      <c r="H183" t="s">
        <v>14</v>
      </c>
      <c r="I183" t="s">
        <v>30</v>
      </c>
    </row>
    <row r="184" spans="1:9" x14ac:dyDescent="0.25">
      <c r="A184" t="s">
        <v>505</v>
      </c>
      <c r="B184" t="s">
        <v>675</v>
      </c>
      <c r="C184" t="s">
        <v>676</v>
      </c>
      <c r="D184" t="s">
        <v>674</v>
      </c>
      <c r="E184" t="s">
        <v>28</v>
      </c>
      <c r="F184" t="s">
        <v>17</v>
      </c>
      <c r="G184" t="s">
        <v>14</v>
      </c>
      <c r="H184" t="s">
        <v>14</v>
      </c>
      <c r="I184" t="s">
        <v>30</v>
      </c>
    </row>
    <row r="185" spans="1:9" x14ac:dyDescent="0.25">
      <c r="A185" t="s">
        <v>505</v>
      </c>
      <c r="B185" t="s">
        <v>677</v>
      </c>
      <c r="C185" t="s">
        <v>678</v>
      </c>
      <c r="D185" t="s">
        <v>674</v>
      </c>
      <c r="E185" t="s">
        <v>28</v>
      </c>
      <c r="F185" t="s">
        <v>17</v>
      </c>
      <c r="G185" t="s">
        <v>14</v>
      </c>
      <c r="H185" t="s">
        <v>14</v>
      </c>
      <c r="I185" t="s">
        <v>30</v>
      </c>
    </row>
    <row r="186" spans="1:9" x14ac:dyDescent="0.25">
      <c r="A186" t="s">
        <v>505</v>
      </c>
      <c r="B186" t="s">
        <v>679</v>
      </c>
      <c r="C186" t="s">
        <v>680</v>
      </c>
      <c r="D186" t="s">
        <v>674</v>
      </c>
      <c r="E186" t="s">
        <v>28</v>
      </c>
      <c r="F186" t="s">
        <v>17</v>
      </c>
      <c r="G186" t="s">
        <v>14</v>
      </c>
      <c r="H186" t="s">
        <v>14</v>
      </c>
      <c r="I186" t="s">
        <v>30</v>
      </c>
    </row>
    <row r="187" spans="1:9" x14ac:dyDescent="0.25">
      <c r="A187" t="s">
        <v>506</v>
      </c>
      <c r="B187" t="s">
        <v>681</v>
      </c>
      <c r="C187" t="s">
        <v>682</v>
      </c>
      <c r="D187" t="s">
        <v>683</v>
      </c>
      <c r="E187" t="s">
        <v>28</v>
      </c>
      <c r="F187" t="s">
        <v>17</v>
      </c>
      <c r="G187" t="s">
        <v>14</v>
      </c>
      <c r="H187" t="s">
        <v>14</v>
      </c>
      <c r="I187" t="s">
        <v>300</v>
      </c>
    </row>
    <row r="188" spans="1:9" x14ac:dyDescent="0.25">
      <c r="A188" t="s">
        <v>507</v>
      </c>
      <c r="B188" t="s">
        <v>684</v>
      </c>
      <c r="C188" t="s">
        <v>685</v>
      </c>
      <c r="D188" t="s">
        <v>686</v>
      </c>
      <c r="E188" t="s">
        <v>28</v>
      </c>
      <c r="F188" t="s">
        <v>17</v>
      </c>
      <c r="G188" t="s">
        <v>14</v>
      </c>
      <c r="H188" t="s">
        <v>14</v>
      </c>
      <c r="I188" t="s">
        <v>18</v>
      </c>
    </row>
    <row r="189" spans="1:9" x14ac:dyDescent="0.25">
      <c r="A189" t="s">
        <v>507</v>
      </c>
      <c r="B189" t="s">
        <v>687</v>
      </c>
      <c r="C189" t="s">
        <v>688</v>
      </c>
      <c r="D189" t="s">
        <v>686</v>
      </c>
      <c r="E189" t="s">
        <v>28</v>
      </c>
      <c r="F189" t="s">
        <v>17</v>
      </c>
      <c r="G189" t="s">
        <v>14</v>
      </c>
      <c r="H189" t="s">
        <v>14</v>
      </c>
      <c r="I189" t="s">
        <v>18</v>
      </c>
    </row>
    <row r="190" spans="1:9" x14ac:dyDescent="0.25">
      <c r="A190" t="s">
        <v>508</v>
      </c>
      <c r="B190" t="s">
        <v>689</v>
      </c>
      <c r="C190" t="s">
        <v>690</v>
      </c>
      <c r="D190" t="s">
        <v>691</v>
      </c>
      <c r="E190" t="s">
        <v>28</v>
      </c>
      <c r="F190" t="s">
        <v>17</v>
      </c>
      <c r="G190" t="s">
        <v>14</v>
      </c>
      <c r="H190" t="s">
        <v>14</v>
      </c>
      <c r="I190" t="s">
        <v>25</v>
      </c>
    </row>
    <row r="191" spans="1:9" x14ac:dyDescent="0.25">
      <c r="A191" t="s">
        <v>508</v>
      </c>
      <c r="B191" t="s">
        <v>692</v>
      </c>
      <c r="C191" t="s">
        <v>693</v>
      </c>
      <c r="D191" t="s">
        <v>691</v>
      </c>
      <c r="E191" t="s">
        <v>28</v>
      </c>
      <c r="F191" t="s">
        <v>17</v>
      </c>
      <c r="G191" t="s">
        <v>14</v>
      </c>
      <c r="H191" t="s">
        <v>14</v>
      </c>
      <c r="I191" t="s">
        <v>25</v>
      </c>
    </row>
    <row r="192" spans="1:9" x14ac:dyDescent="0.25">
      <c r="A192" t="s">
        <v>509</v>
      </c>
      <c r="B192" t="s">
        <v>694</v>
      </c>
      <c r="C192" t="s">
        <v>695</v>
      </c>
      <c r="D192" t="s">
        <v>696</v>
      </c>
      <c r="E192" t="s">
        <v>28</v>
      </c>
      <c r="F192" t="s">
        <v>17</v>
      </c>
      <c r="G192" t="s">
        <v>14</v>
      </c>
      <c r="H192" t="s">
        <v>14</v>
      </c>
      <c r="I192" t="s">
        <v>22</v>
      </c>
    </row>
    <row r="193" spans="1:9" x14ac:dyDescent="0.25">
      <c r="A193" t="s">
        <v>510</v>
      </c>
      <c r="B193" t="s">
        <v>697</v>
      </c>
      <c r="C193" t="s">
        <v>698</v>
      </c>
      <c r="D193" t="s">
        <v>699</v>
      </c>
      <c r="E193" t="s">
        <v>28</v>
      </c>
      <c r="F193" t="s">
        <v>17</v>
      </c>
      <c r="G193" t="s">
        <v>14</v>
      </c>
      <c r="H193" t="s">
        <v>14</v>
      </c>
      <c r="I193" t="s">
        <v>700</v>
      </c>
    </row>
    <row r="194" spans="1:9" x14ac:dyDescent="0.25">
      <c r="A194" t="s">
        <v>510</v>
      </c>
      <c r="B194" t="s">
        <v>701</v>
      </c>
      <c r="C194" t="s">
        <v>702</v>
      </c>
      <c r="D194" t="s">
        <v>699</v>
      </c>
      <c r="E194" t="s">
        <v>28</v>
      </c>
      <c r="F194" t="s">
        <v>17</v>
      </c>
      <c r="G194" t="s">
        <v>14</v>
      </c>
      <c r="H194" t="s">
        <v>14</v>
      </c>
      <c r="I194" t="s">
        <v>700</v>
      </c>
    </row>
    <row r="195" spans="1:9" x14ac:dyDescent="0.25">
      <c r="A195" t="s">
        <v>510</v>
      </c>
      <c r="B195" t="s">
        <v>703</v>
      </c>
      <c r="C195" t="s">
        <v>704</v>
      </c>
      <c r="D195" t="s">
        <v>699</v>
      </c>
      <c r="E195" t="s">
        <v>28</v>
      </c>
      <c r="F195" t="s">
        <v>17</v>
      </c>
      <c r="G195" t="s">
        <v>14</v>
      </c>
      <c r="H195" t="s">
        <v>14</v>
      </c>
      <c r="I195" t="s">
        <v>700</v>
      </c>
    </row>
    <row r="196" spans="1:9" x14ac:dyDescent="0.25">
      <c r="A196" t="s">
        <v>510</v>
      </c>
      <c r="B196" t="s">
        <v>705</v>
      </c>
      <c r="C196" t="s">
        <v>706</v>
      </c>
      <c r="D196" t="s">
        <v>699</v>
      </c>
      <c r="E196" t="s">
        <v>28</v>
      </c>
      <c r="F196" t="s">
        <v>17</v>
      </c>
      <c r="G196" t="s">
        <v>14</v>
      </c>
      <c r="H196" t="s">
        <v>14</v>
      </c>
      <c r="I196" t="s">
        <v>24</v>
      </c>
    </row>
    <row r="197" spans="1:9" x14ac:dyDescent="0.25">
      <c r="A197" t="s">
        <v>510</v>
      </c>
      <c r="B197" t="s">
        <v>707</v>
      </c>
      <c r="C197" t="s">
        <v>708</v>
      </c>
      <c r="D197" t="s">
        <v>699</v>
      </c>
      <c r="E197" t="s">
        <v>28</v>
      </c>
      <c r="F197" t="s">
        <v>17</v>
      </c>
      <c r="G197" t="s">
        <v>14</v>
      </c>
      <c r="H197" t="s">
        <v>14</v>
      </c>
      <c r="I197" t="s">
        <v>24</v>
      </c>
    </row>
    <row r="198" spans="1:9" x14ac:dyDescent="0.25">
      <c r="A198" t="s">
        <v>510</v>
      </c>
      <c r="B198" t="s">
        <v>709</v>
      </c>
      <c r="C198" t="s">
        <v>710</v>
      </c>
      <c r="D198" t="s">
        <v>699</v>
      </c>
      <c r="E198" t="s">
        <v>28</v>
      </c>
      <c r="F198" t="s">
        <v>17</v>
      </c>
      <c r="G198" t="s">
        <v>14</v>
      </c>
      <c r="H198" t="s">
        <v>14</v>
      </c>
      <c r="I198" t="s">
        <v>24</v>
      </c>
    </row>
    <row r="199" spans="1:9" x14ac:dyDescent="0.25">
      <c r="A199" t="s">
        <v>510</v>
      </c>
      <c r="B199" t="s">
        <v>711</v>
      </c>
      <c r="C199" t="s">
        <v>712</v>
      </c>
      <c r="D199" t="s">
        <v>699</v>
      </c>
      <c r="E199" t="s">
        <v>28</v>
      </c>
      <c r="F199" t="s">
        <v>17</v>
      </c>
      <c r="G199" t="s">
        <v>14</v>
      </c>
      <c r="H199" t="s">
        <v>14</v>
      </c>
      <c r="I199" t="s">
        <v>24</v>
      </c>
    </row>
    <row r="200" spans="1:9" x14ac:dyDescent="0.25">
      <c r="A200" t="s">
        <v>510</v>
      </c>
      <c r="B200" t="s">
        <v>713</v>
      </c>
      <c r="C200" t="s">
        <v>714</v>
      </c>
      <c r="D200" t="s">
        <v>699</v>
      </c>
      <c r="E200" t="s">
        <v>28</v>
      </c>
      <c r="F200" t="s">
        <v>17</v>
      </c>
      <c r="G200" t="s">
        <v>14</v>
      </c>
      <c r="H200" t="s">
        <v>14</v>
      </c>
      <c r="I200" t="s">
        <v>16</v>
      </c>
    </row>
    <row r="201" spans="1:9" x14ac:dyDescent="0.25">
      <c r="A201" t="s">
        <v>510</v>
      </c>
      <c r="B201" t="s">
        <v>715</v>
      </c>
      <c r="C201" t="s">
        <v>716</v>
      </c>
      <c r="D201" t="s">
        <v>699</v>
      </c>
      <c r="E201" t="s">
        <v>28</v>
      </c>
      <c r="F201" t="s">
        <v>17</v>
      </c>
      <c r="G201" t="s">
        <v>14</v>
      </c>
      <c r="H201" t="s">
        <v>14</v>
      </c>
      <c r="I201" t="s">
        <v>16</v>
      </c>
    </row>
    <row r="202" spans="1:9" x14ac:dyDescent="0.25">
      <c r="A202" t="s">
        <v>510</v>
      </c>
      <c r="B202" t="s">
        <v>717</v>
      </c>
      <c r="C202" t="s">
        <v>718</v>
      </c>
      <c r="D202" t="s">
        <v>699</v>
      </c>
      <c r="E202" t="s">
        <v>28</v>
      </c>
      <c r="F202" t="s">
        <v>17</v>
      </c>
      <c r="G202" t="s">
        <v>14</v>
      </c>
      <c r="H202" t="s">
        <v>14</v>
      </c>
      <c r="I202" t="s">
        <v>16</v>
      </c>
    </row>
    <row r="203" spans="1:9" x14ac:dyDescent="0.25">
      <c r="A203" t="s">
        <v>510</v>
      </c>
      <c r="B203" t="s">
        <v>719</v>
      </c>
      <c r="C203" t="s">
        <v>720</v>
      </c>
      <c r="D203" t="s">
        <v>699</v>
      </c>
      <c r="E203" t="s">
        <v>28</v>
      </c>
      <c r="F203" t="s">
        <v>17</v>
      </c>
      <c r="G203" t="s">
        <v>14</v>
      </c>
      <c r="H203" t="s">
        <v>14</v>
      </c>
      <c r="I203" t="s">
        <v>15</v>
      </c>
    </row>
    <row r="204" spans="1:9" x14ac:dyDescent="0.25">
      <c r="A204" t="s">
        <v>510</v>
      </c>
      <c r="B204" t="s">
        <v>721</v>
      </c>
      <c r="C204" t="s">
        <v>722</v>
      </c>
      <c r="D204" t="s">
        <v>699</v>
      </c>
      <c r="E204" t="s">
        <v>28</v>
      </c>
      <c r="F204" t="s">
        <v>17</v>
      </c>
      <c r="G204" t="s">
        <v>14</v>
      </c>
      <c r="H204" t="s">
        <v>14</v>
      </c>
      <c r="I204" t="s">
        <v>15</v>
      </c>
    </row>
    <row r="205" spans="1:9" x14ac:dyDescent="0.25">
      <c r="A205" t="s">
        <v>510</v>
      </c>
      <c r="B205" t="s">
        <v>723</v>
      </c>
      <c r="C205" t="s">
        <v>724</v>
      </c>
      <c r="D205" t="s">
        <v>699</v>
      </c>
      <c r="E205" t="s">
        <v>28</v>
      </c>
      <c r="F205" t="s">
        <v>17</v>
      </c>
      <c r="G205" t="s">
        <v>14</v>
      </c>
      <c r="H205" t="s">
        <v>14</v>
      </c>
      <c r="I205" t="s">
        <v>15</v>
      </c>
    </row>
    <row r="206" spans="1:9" x14ac:dyDescent="0.25">
      <c r="A206" t="s">
        <v>510</v>
      </c>
      <c r="B206" t="s">
        <v>725</v>
      </c>
      <c r="C206" t="s">
        <v>726</v>
      </c>
      <c r="D206" t="s">
        <v>699</v>
      </c>
      <c r="E206" t="s">
        <v>28</v>
      </c>
      <c r="F206" t="s">
        <v>17</v>
      </c>
      <c r="G206" t="s">
        <v>14</v>
      </c>
      <c r="H206" t="s">
        <v>14</v>
      </c>
      <c r="I206" t="s">
        <v>15</v>
      </c>
    </row>
    <row r="207" spans="1:9" x14ac:dyDescent="0.25">
      <c r="A207" t="s">
        <v>510</v>
      </c>
      <c r="B207" t="s">
        <v>727</v>
      </c>
      <c r="C207" t="s">
        <v>728</v>
      </c>
      <c r="D207" t="s">
        <v>699</v>
      </c>
      <c r="E207" t="s">
        <v>28</v>
      </c>
      <c r="F207" t="s">
        <v>17</v>
      </c>
      <c r="G207" t="s">
        <v>14</v>
      </c>
      <c r="H207" t="s">
        <v>14</v>
      </c>
      <c r="I207" t="s">
        <v>27</v>
      </c>
    </row>
    <row r="208" spans="1:9" x14ac:dyDescent="0.25">
      <c r="A208" t="s">
        <v>510</v>
      </c>
      <c r="B208" t="s">
        <v>729</v>
      </c>
      <c r="C208" t="s">
        <v>730</v>
      </c>
      <c r="D208" t="s">
        <v>699</v>
      </c>
      <c r="E208" t="s">
        <v>28</v>
      </c>
      <c r="F208" t="s">
        <v>17</v>
      </c>
      <c r="G208" t="s">
        <v>14</v>
      </c>
      <c r="H208" t="s">
        <v>14</v>
      </c>
      <c r="I208" t="s">
        <v>27</v>
      </c>
    </row>
    <row r="209" spans="1:9" x14ac:dyDescent="0.25">
      <c r="A209" t="s">
        <v>510</v>
      </c>
      <c r="B209" t="s">
        <v>731</v>
      </c>
      <c r="C209" t="s">
        <v>732</v>
      </c>
      <c r="D209" t="s">
        <v>699</v>
      </c>
      <c r="E209" t="s">
        <v>28</v>
      </c>
      <c r="F209" t="s">
        <v>17</v>
      </c>
      <c r="G209" t="s">
        <v>14</v>
      </c>
      <c r="H209" t="s">
        <v>14</v>
      </c>
      <c r="I209" t="s">
        <v>27</v>
      </c>
    </row>
    <row r="210" spans="1:9" x14ac:dyDescent="0.25">
      <c r="A210" t="s">
        <v>500</v>
      </c>
      <c r="B210" t="s">
        <v>733</v>
      </c>
      <c r="C210" t="s">
        <v>734</v>
      </c>
      <c r="D210" t="s">
        <v>735</v>
      </c>
      <c r="E210" t="s">
        <v>28</v>
      </c>
      <c r="F210" t="s">
        <v>17</v>
      </c>
      <c r="G210" t="s">
        <v>14</v>
      </c>
      <c r="H210" t="s">
        <v>14</v>
      </c>
      <c r="I210" t="s">
        <v>700</v>
      </c>
    </row>
    <row r="211" spans="1:9" x14ac:dyDescent="0.25">
      <c r="A211" t="s">
        <v>500</v>
      </c>
      <c r="B211" t="s">
        <v>736</v>
      </c>
      <c r="C211" t="s">
        <v>737</v>
      </c>
      <c r="D211" t="s">
        <v>735</v>
      </c>
      <c r="E211" t="s">
        <v>28</v>
      </c>
      <c r="F211" t="s">
        <v>17</v>
      </c>
      <c r="G211" t="s">
        <v>14</v>
      </c>
      <c r="H211" t="s">
        <v>14</v>
      </c>
      <c r="I211" t="s">
        <v>32</v>
      </c>
    </row>
    <row r="212" spans="1:9" x14ac:dyDescent="0.25">
      <c r="A212" t="s">
        <v>500</v>
      </c>
      <c r="B212" t="s">
        <v>738</v>
      </c>
      <c r="C212" t="s">
        <v>739</v>
      </c>
      <c r="D212" t="s">
        <v>735</v>
      </c>
      <c r="E212" t="s">
        <v>28</v>
      </c>
      <c r="F212" t="s">
        <v>17</v>
      </c>
      <c r="G212" t="s">
        <v>14</v>
      </c>
      <c r="H212" t="s">
        <v>14</v>
      </c>
      <c r="I212" t="s">
        <v>27</v>
      </c>
    </row>
    <row r="213" spans="1:9" x14ac:dyDescent="0.25">
      <c r="A213" t="s">
        <v>500</v>
      </c>
      <c r="B213" t="s">
        <v>740</v>
      </c>
      <c r="C213" t="s">
        <v>741</v>
      </c>
      <c r="D213" t="s">
        <v>735</v>
      </c>
      <c r="E213" t="s">
        <v>28</v>
      </c>
      <c r="F213" t="s">
        <v>17</v>
      </c>
      <c r="G213" t="s">
        <v>14</v>
      </c>
      <c r="H213" t="s">
        <v>14</v>
      </c>
      <c r="I213" t="s">
        <v>27</v>
      </c>
    </row>
    <row r="214" spans="1:9" x14ac:dyDescent="0.25">
      <c r="A214" t="s">
        <v>45</v>
      </c>
      <c r="B214" t="s">
        <v>371</v>
      </c>
      <c r="C214" t="s">
        <v>372</v>
      </c>
      <c r="D214" t="s">
        <v>373</v>
      </c>
      <c r="E214" t="s">
        <v>28</v>
      </c>
      <c r="F214" t="s">
        <v>29</v>
      </c>
      <c r="G214" t="s">
        <v>14</v>
      </c>
      <c r="H214" t="s">
        <v>742</v>
      </c>
      <c r="I214" t="s">
        <v>18</v>
      </c>
    </row>
    <row r="215" spans="1:9" x14ac:dyDescent="0.25">
      <c r="A215" t="s">
        <v>45</v>
      </c>
      <c r="B215" t="s">
        <v>374</v>
      </c>
      <c r="C215" t="s">
        <v>375</v>
      </c>
      <c r="D215" t="s">
        <v>373</v>
      </c>
      <c r="E215" t="s">
        <v>28</v>
      </c>
      <c r="F215" t="s">
        <v>29</v>
      </c>
      <c r="G215" t="s">
        <v>14</v>
      </c>
      <c r="H215" t="s">
        <v>742</v>
      </c>
      <c r="I215" t="s">
        <v>18</v>
      </c>
    </row>
    <row r="216" spans="1:9" x14ac:dyDescent="0.25">
      <c r="A216" t="s">
        <v>45</v>
      </c>
      <c r="B216" t="s">
        <v>743</v>
      </c>
      <c r="C216" t="s">
        <v>744</v>
      </c>
      <c r="D216" t="s">
        <v>373</v>
      </c>
      <c r="E216" t="s">
        <v>28</v>
      </c>
      <c r="F216" t="s">
        <v>29</v>
      </c>
      <c r="G216" t="s">
        <v>14</v>
      </c>
      <c r="H216" t="s">
        <v>742</v>
      </c>
      <c r="I216" t="s">
        <v>18</v>
      </c>
    </row>
    <row r="217" spans="1:9" x14ac:dyDescent="0.25">
      <c r="A217" t="s">
        <v>45</v>
      </c>
      <c r="B217" t="s">
        <v>376</v>
      </c>
      <c r="C217" t="s">
        <v>377</v>
      </c>
      <c r="D217" t="s">
        <v>373</v>
      </c>
      <c r="E217" t="s">
        <v>28</v>
      </c>
      <c r="F217" t="s">
        <v>29</v>
      </c>
      <c r="G217" t="s">
        <v>14</v>
      </c>
      <c r="H217" t="s">
        <v>742</v>
      </c>
      <c r="I217" t="s">
        <v>18</v>
      </c>
    </row>
    <row r="218" spans="1:9" x14ac:dyDescent="0.25">
      <c r="A218" t="s">
        <v>44</v>
      </c>
      <c r="B218" t="s">
        <v>378</v>
      </c>
      <c r="C218" t="s">
        <v>379</v>
      </c>
      <c r="D218" t="s">
        <v>380</v>
      </c>
      <c r="E218" t="s">
        <v>28</v>
      </c>
      <c r="F218" t="s">
        <v>29</v>
      </c>
      <c r="G218" t="s">
        <v>14</v>
      </c>
      <c r="H218" t="s">
        <v>742</v>
      </c>
      <c r="I218" t="s">
        <v>25</v>
      </c>
    </row>
    <row r="219" spans="1:9" x14ac:dyDescent="0.25">
      <c r="A219" t="s">
        <v>44</v>
      </c>
      <c r="B219" t="s">
        <v>381</v>
      </c>
      <c r="C219" t="s">
        <v>382</v>
      </c>
      <c r="D219" t="s">
        <v>380</v>
      </c>
      <c r="E219" t="s">
        <v>28</v>
      </c>
      <c r="F219" t="s">
        <v>29</v>
      </c>
      <c r="G219" t="s">
        <v>14</v>
      </c>
      <c r="H219" t="s">
        <v>742</v>
      </c>
      <c r="I219" t="s">
        <v>25</v>
      </c>
    </row>
    <row r="220" spans="1:9" x14ac:dyDescent="0.25">
      <c r="A220" t="s">
        <v>44</v>
      </c>
      <c r="B220" t="s">
        <v>383</v>
      </c>
      <c r="C220" t="s">
        <v>384</v>
      </c>
      <c r="D220" t="s">
        <v>380</v>
      </c>
      <c r="E220" t="s">
        <v>28</v>
      </c>
      <c r="F220" t="s">
        <v>29</v>
      </c>
      <c r="G220" t="s">
        <v>14</v>
      </c>
      <c r="H220" t="s">
        <v>742</v>
      </c>
      <c r="I220" t="s">
        <v>25</v>
      </c>
    </row>
    <row r="221" spans="1:9" x14ac:dyDescent="0.25">
      <c r="A221" t="s">
        <v>44</v>
      </c>
      <c r="B221" t="s">
        <v>385</v>
      </c>
      <c r="C221" t="s">
        <v>386</v>
      </c>
      <c r="D221" t="s">
        <v>380</v>
      </c>
      <c r="E221" t="s">
        <v>28</v>
      </c>
      <c r="F221" t="s">
        <v>29</v>
      </c>
      <c r="G221" t="s">
        <v>14</v>
      </c>
      <c r="H221" t="s">
        <v>742</v>
      </c>
      <c r="I221" t="s">
        <v>25</v>
      </c>
    </row>
    <row r="222" spans="1:9" x14ac:dyDescent="0.25">
      <c r="A222" t="s">
        <v>43</v>
      </c>
      <c r="B222" t="s">
        <v>387</v>
      </c>
      <c r="C222" t="s">
        <v>388</v>
      </c>
      <c r="D222" t="s">
        <v>389</v>
      </c>
      <c r="E222" t="s">
        <v>28</v>
      </c>
      <c r="F222" t="s">
        <v>29</v>
      </c>
      <c r="G222" t="s">
        <v>14</v>
      </c>
      <c r="H222" t="s">
        <v>742</v>
      </c>
      <c r="I222" t="s">
        <v>30</v>
      </c>
    </row>
    <row r="223" spans="1:9" x14ac:dyDescent="0.25">
      <c r="A223" t="s">
        <v>43</v>
      </c>
      <c r="B223" t="s">
        <v>390</v>
      </c>
      <c r="C223" t="s">
        <v>391</v>
      </c>
      <c r="D223" t="s">
        <v>389</v>
      </c>
      <c r="E223" t="s">
        <v>28</v>
      </c>
      <c r="F223" t="s">
        <v>29</v>
      </c>
      <c r="G223" t="s">
        <v>14</v>
      </c>
      <c r="H223" t="s">
        <v>742</v>
      </c>
      <c r="I223" t="s">
        <v>30</v>
      </c>
    </row>
    <row r="224" spans="1:9" x14ac:dyDescent="0.25">
      <c r="A224" t="s">
        <v>43</v>
      </c>
      <c r="B224" t="s">
        <v>392</v>
      </c>
      <c r="C224" t="s">
        <v>393</v>
      </c>
      <c r="D224" t="s">
        <v>389</v>
      </c>
      <c r="E224" t="s">
        <v>28</v>
      </c>
      <c r="F224" t="s">
        <v>29</v>
      </c>
      <c r="G224" t="s">
        <v>14</v>
      </c>
      <c r="H224" t="s">
        <v>742</v>
      </c>
      <c r="I224" t="s">
        <v>30</v>
      </c>
    </row>
    <row r="225" spans="1:9" x14ac:dyDescent="0.25">
      <c r="A225" t="s">
        <v>43</v>
      </c>
      <c r="B225" t="s">
        <v>394</v>
      </c>
      <c r="C225" t="s">
        <v>395</v>
      </c>
      <c r="D225" t="s">
        <v>389</v>
      </c>
      <c r="E225" t="s">
        <v>28</v>
      </c>
      <c r="F225" t="s">
        <v>29</v>
      </c>
      <c r="G225" t="s">
        <v>14</v>
      </c>
      <c r="H225" t="s">
        <v>742</v>
      </c>
      <c r="I225" t="s">
        <v>30</v>
      </c>
    </row>
    <row r="226" spans="1:9" x14ac:dyDescent="0.25">
      <c r="A226" t="s">
        <v>47</v>
      </c>
      <c r="B226" t="s">
        <v>396</v>
      </c>
      <c r="C226" t="s">
        <v>397</v>
      </c>
      <c r="D226" t="s">
        <v>398</v>
      </c>
      <c r="E226" t="s">
        <v>28</v>
      </c>
      <c r="F226" t="s">
        <v>17</v>
      </c>
      <c r="G226" t="s">
        <v>14</v>
      </c>
      <c r="H226" t="s">
        <v>742</v>
      </c>
      <c r="I226" t="s">
        <v>18</v>
      </c>
    </row>
    <row r="227" spans="1:9" x14ac:dyDescent="0.25">
      <c r="A227" t="s">
        <v>47</v>
      </c>
      <c r="B227" t="s">
        <v>745</v>
      </c>
      <c r="C227" t="s">
        <v>746</v>
      </c>
      <c r="D227" t="s">
        <v>398</v>
      </c>
      <c r="E227" t="s">
        <v>28</v>
      </c>
      <c r="F227" t="s">
        <v>17</v>
      </c>
      <c r="G227" t="s">
        <v>14</v>
      </c>
      <c r="H227" t="s">
        <v>742</v>
      </c>
      <c r="I227" t="s">
        <v>18</v>
      </c>
    </row>
    <row r="228" spans="1:9" x14ac:dyDescent="0.25">
      <c r="A228" t="s">
        <v>47</v>
      </c>
      <c r="B228" t="s">
        <v>747</v>
      </c>
      <c r="C228" t="s">
        <v>748</v>
      </c>
      <c r="D228" t="s">
        <v>398</v>
      </c>
      <c r="E228" t="s">
        <v>28</v>
      </c>
      <c r="F228" t="s">
        <v>17</v>
      </c>
      <c r="G228" t="s">
        <v>14</v>
      </c>
      <c r="H228" t="s">
        <v>742</v>
      </c>
      <c r="I228" t="s">
        <v>18</v>
      </c>
    </row>
    <row r="229" spans="1:9" x14ac:dyDescent="0.25">
      <c r="A229" t="s">
        <v>46</v>
      </c>
      <c r="B229" t="s">
        <v>399</v>
      </c>
      <c r="C229" t="s">
        <v>400</v>
      </c>
      <c r="D229" t="s">
        <v>401</v>
      </c>
      <c r="E229" t="s">
        <v>28</v>
      </c>
      <c r="F229" t="s">
        <v>17</v>
      </c>
      <c r="G229" t="s">
        <v>14</v>
      </c>
      <c r="H229" t="s">
        <v>742</v>
      </c>
      <c r="I229" t="s">
        <v>15</v>
      </c>
    </row>
    <row r="230" spans="1:9" x14ac:dyDescent="0.25">
      <c r="A230" t="s">
        <v>46</v>
      </c>
      <c r="B230" t="s">
        <v>749</v>
      </c>
      <c r="C230" t="s">
        <v>750</v>
      </c>
      <c r="D230" t="s">
        <v>401</v>
      </c>
      <c r="E230" t="s">
        <v>28</v>
      </c>
      <c r="F230" t="s">
        <v>17</v>
      </c>
      <c r="G230" t="s">
        <v>14</v>
      </c>
      <c r="H230" t="s">
        <v>742</v>
      </c>
      <c r="I230" t="s">
        <v>15</v>
      </c>
    </row>
    <row r="231" spans="1:9" x14ac:dyDescent="0.25">
      <c r="A231" t="s">
        <v>46</v>
      </c>
      <c r="B231" t="s">
        <v>751</v>
      </c>
      <c r="C231" t="s">
        <v>752</v>
      </c>
      <c r="D231" t="s">
        <v>401</v>
      </c>
      <c r="E231" t="s">
        <v>28</v>
      </c>
      <c r="F231" t="s">
        <v>17</v>
      </c>
      <c r="G231" t="s">
        <v>14</v>
      </c>
      <c r="H231" t="s">
        <v>742</v>
      </c>
      <c r="I231" t="s">
        <v>15</v>
      </c>
    </row>
    <row r="232" spans="1:9" x14ac:dyDescent="0.25">
      <c r="A232" t="s">
        <v>46</v>
      </c>
      <c r="B232" t="s">
        <v>753</v>
      </c>
      <c r="C232" t="s">
        <v>754</v>
      </c>
      <c r="D232" t="s">
        <v>401</v>
      </c>
      <c r="E232" t="s">
        <v>28</v>
      </c>
      <c r="F232" t="s">
        <v>17</v>
      </c>
      <c r="G232" t="s">
        <v>14</v>
      </c>
      <c r="H232" t="s">
        <v>742</v>
      </c>
      <c r="I232" t="s">
        <v>15</v>
      </c>
    </row>
    <row r="233" spans="1:9" x14ac:dyDescent="0.25">
      <c r="A233" t="s">
        <v>539</v>
      </c>
      <c r="B233" t="s">
        <v>755</v>
      </c>
      <c r="C233" t="s">
        <v>756</v>
      </c>
      <c r="D233" t="s">
        <v>538</v>
      </c>
      <c r="E233" t="s">
        <v>28</v>
      </c>
      <c r="F233" t="s">
        <v>17</v>
      </c>
      <c r="G233" t="s">
        <v>14</v>
      </c>
      <c r="H233" t="s">
        <v>14</v>
      </c>
      <c r="I233" t="s">
        <v>31</v>
      </c>
    </row>
    <row r="234" spans="1:9" x14ac:dyDescent="0.25">
      <c r="A234" t="s">
        <v>539</v>
      </c>
      <c r="B234" t="s">
        <v>757</v>
      </c>
      <c r="C234" t="s">
        <v>758</v>
      </c>
      <c r="D234" t="s">
        <v>538</v>
      </c>
      <c r="E234" t="s">
        <v>28</v>
      </c>
      <c r="F234" t="s">
        <v>17</v>
      </c>
      <c r="G234" t="s">
        <v>14</v>
      </c>
      <c r="H234" t="s">
        <v>14</v>
      </c>
      <c r="I234" t="s">
        <v>759</v>
      </c>
    </row>
    <row r="235" spans="1:9" x14ac:dyDescent="0.25">
      <c r="A235" t="s">
        <v>539</v>
      </c>
      <c r="B235" t="s">
        <v>760</v>
      </c>
      <c r="C235" t="s">
        <v>761</v>
      </c>
      <c r="D235" t="s">
        <v>538</v>
      </c>
      <c r="E235" t="s">
        <v>28</v>
      </c>
      <c r="F235" t="s">
        <v>17</v>
      </c>
      <c r="G235" t="s">
        <v>14</v>
      </c>
      <c r="H235" t="s">
        <v>14</v>
      </c>
      <c r="I235" t="s">
        <v>759</v>
      </c>
    </row>
    <row r="236" spans="1:9" x14ac:dyDescent="0.25">
      <c r="A236" t="s">
        <v>539</v>
      </c>
      <c r="B236" t="s">
        <v>762</v>
      </c>
      <c r="C236" t="s">
        <v>763</v>
      </c>
      <c r="D236" t="s">
        <v>538</v>
      </c>
      <c r="E236" t="s">
        <v>28</v>
      </c>
      <c r="F236" t="s">
        <v>17</v>
      </c>
      <c r="G236" t="s">
        <v>14</v>
      </c>
      <c r="H236" t="s">
        <v>14</v>
      </c>
      <c r="I236" t="s">
        <v>759</v>
      </c>
    </row>
    <row r="237" spans="1:9" x14ac:dyDescent="0.25">
      <c r="A237" t="s">
        <v>539</v>
      </c>
      <c r="B237" t="s">
        <v>764</v>
      </c>
      <c r="C237" t="s">
        <v>765</v>
      </c>
      <c r="D237" t="s">
        <v>538</v>
      </c>
      <c r="E237" t="s">
        <v>28</v>
      </c>
      <c r="F237" t="s">
        <v>17</v>
      </c>
      <c r="G237" t="s">
        <v>14</v>
      </c>
      <c r="H237" t="s">
        <v>14</v>
      </c>
      <c r="I237" t="s">
        <v>24</v>
      </c>
    </row>
    <row r="238" spans="1:9" x14ac:dyDescent="0.25">
      <c r="A238" t="s">
        <v>539</v>
      </c>
      <c r="B238" t="s">
        <v>766</v>
      </c>
      <c r="C238" t="s">
        <v>767</v>
      </c>
      <c r="D238" t="s">
        <v>538</v>
      </c>
      <c r="E238" t="s">
        <v>28</v>
      </c>
      <c r="F238" t="s">
        <v>17</v>
      </c>
      <c r="G238" t="s">
        <v>14</v>
      </c>
      <c r="H238" t="s">
        <v>14</v>
      </c>
      <c r="I238" t="s">
        <v>24</v>
      </c>
    </row>
    <row r="239" spans="1:9" x14ac:dyDescent="0.25">
      <c r="A239" t="s">
        <v>539</v>
      </c>
      <c r="B239" t="s">
        <v>768</v>
      </c>
      <c r="C239" t="s">
        <v>769</v>
      </c>
      <c r="D239" t="s">
        <v>538</v>
      </c>
      <c r="E239" t="s">
        <v>28</v>
      </c>
      <c r="F239" t="s">
        <v>17</v>
      </c>
      <c r="G239" t="s">
        <v>14</v>
      </c>
      <c r="H239" t="s">
        <v>14</v>
      </c>
      <c r="I239" t="s">
        <v>24</v>
      </c>
    </row>
    <row r="240" spans="1:9" x14ac:dyDescent="0.25">
      <c r="A240" t="s">
        <v>539</v>
      </c>
      <c r="B240" t="s">
        <v>770</v>
      </c>
      <c r="C240" t="s">
        <v>771</v>
      </c>
      <c r="D240" t="s">
        <v>538</v>
      </c>
      <c r="E240" t="s">
        <v>28</v>
      </c>
      <c r="F240" t="s">
        <v>17</v>
      </c>
      <c r="G240" t="s">
        <v>14</v>
      </c>
      <c r="H240" t="s">
        <v>14</v>
      </c>
      <c r="I240" t="s">
        <v>15</v>
      </c>
    </row>
    <row r="241" spans="1:9" x14ac:dyDescent="0.25">
      <c r="A241" t="s">
        <v>539</v>
      </c>
      <c r="B241" t="s">
        <v>772</v>
      </c>
      <c r="C241" t="s">
        <v>773</v>
      </c>
      <c r="D241" t="s">
        <v>538</v>
      </c>
      <c r="E241" t="s">
        <v>28</v>
      </c>
      <c r="F241" t="s">
        <v>17</v>
      </c>
      <c r="G241" t="s">
        <v>14</v>
      </c>
      <c r="H241" t="s">
        <v>14</v>
      </c>
      <c r="I241" t="s">
        <v>300</v>
      </c>
    </row>
    <row r="242" spans="1:9" x14ac:dyDescent="0.25">
      <c r="A242" t="s">
        <v>539</v>
      </c>
      <c r="B242" t="s">
        <v>774</v>
      </c>
      <c r="C242" t="s">
        <v>775</v>
      </c>
      <c r="D242" t="s">
        <v>538</v>
      </c>
      <c r="E242" t="s">
        <v>28</v>
      </c>
      <c r="F242" t="s">
        <v>17</v>
      </c>
      <c r="G242" t="s">
        <v>14</v>
      </c>
      <c r="H242" t="s">
        <v>14</v>
      </c>
      <c r="I242" t="s">
        <v>300</v>
      </c>
    </row>
    <row r="243" spans="1:9" x14ac:dyDescent="0.25">
      <c r="A243" t="s">
        <v>539</v>
      </c>
      <c r="B243" t="s">
        <v>776</v>
      </c>
      <c r="C243" t="s">
        <v>777</v>
      </c>
      <c r="D243" t="s">
        <v>538</v>
      </c>
      <c r="E243" t="s">
        <v>28</v>
      </c>
      <c r="F243" t="s">
        <v>17</v>
      </c>
      <c r="G243" t="s">
        <v>14</v>
      </c>
      <c r="H243" t="s">
        <v>14</v>
      </c>
      <c r="I243" t="s">
        <v>300</v>
      </c>
    </row>
    <row r="244" spans="1:9" x14ac:dyDescent="0.25">
      <c r="A244" t="s">
        <v>539</v>
      </c>
      <c r="B244" t="s">
        <v>778</v>
      </c>
      <c r="C244" t="s">
        <v>779</v>
      </c>
      <c r="D244" t="s">
        <v>538</v>
      </c>
      <c r="E244" t="s">
        <v>28</v>
      </c>
      <c r="F244" t="s">
        <v>17</v>
      </c>
      <c r="G244" t="s">
        <v>14</v>
      </c>
      <c r="H244" t="s">
        <v>14</v>
      </c>
      <c r="I244" t="s">
        <v>300</v>
      </c>
    </row>
    <row r="245" spans="1:9" x14ac:dyDescent="0.25">
      <c r="A245" t="s">
        <v>539</v>
      </c>
      <c r="B245" t="s">
        <v>780</v>
      </c>
      <c r="C245" t="s">
        <v>781</v>
      </c>
      <c r="D245" t="s">
        <v>538</v>
      </c>
      <c r="E245" t="s">
        <v>28</v>
      </c>
      <c r="F245" t="s">
        <v>17</v>
      </c>
      <c r="G245" t="s">
        <v>14</v>
      </c>
      <c r="H245" t="s">
        <v>14</v>
      </c>
      <c r="I245" t="s">
        <v>782</v>
      </c>
    </row>
    <row r="246" spans="1:9" x14ac:dyDescent="0.25">
      <c r="A246" t="s">
        <v>539</v>
      </c>
      <c r="B246" t="s">
        <v>783</v>
      </c>
      <c r="C246" t="s">
        <v>784</v>
      </c>
      <c r="D246" t="s">
        <v>538</v>
      </c>
      <c r="E246" t="s">
        <v>28</v>
      </c>
      <c r="F246" t="s">
        <v>17</v>
      </c>
      <c r="G246" t="s">
        <v>14</v>
      </c>
      <c r="H246" t="s">
        <v>14</v>
      </c>
      <c r="I246" t="s">
        <v>782</v>
      </c>
    </row>
    <row r="247" spans="1:9" x14ac:dyDescent="0.25">
      <c r="A247" t="s">
        <v>539</v>
      </c>
      <c r="B247" t="s">
        <v>785</v>
      </c>
      <c r="C247" t="s">
        <v>786</v>
      </c>
      <c r="D247" t="s">
        <v>538</v>
      </c>
      <c r="E247" t="s">
        <v>28</v>
      </c>
      <c r="F247" t="s">
        <v>17</v>
      </c>
      <c r="G247" t="s">
        <v>14</v>
      </c>
      <c r="H247" t="s">
        <v>14</v>
      </c>
      <c r="I247" t="s">
        <v>782</v>
      </c>
    </row>
    <row r="248" spans="1:9" x14ac:dyDescent="0.25">
      <c r="A248" t="s">
        <v>539</v>
      </c>
      <c r="B248" t="s">
        <v>787</v>
      </c>
      <c r="C248" t="s">
        <v>788</v>
      </c>
      <c r="D248" t="s">
        <v>538</v>
      </c>
      <c r="E248" t="s">
        <v>28</v>
      </c>
      <c r="F248" t="s">
        <v>17</v>
      </c>
      <c r="G248" t="s">
        <v>14</v>
      </c>
      <c r="H248" t="s">
        <v>14</v>
      </c>
      <c r="I248" t="s">
        <v>782</v>
      </c>
    </row>
    <row r="249" spans="1:9" x14ac:dyDescent="0.25">
      <c r="A249" t="s">
        <v>527</v>
      </c>
      <c r="B249" t="s">
        <v>789</v>
      </c>
      <c r="C249" t="s">
        <v>790</v>
      </c>
      <c r="D249" t="s">
        <v>791</v>
      </c>
      <c r="E249" t="s">
        <v>28</v>
      </c>
      <c r="F249" t="s">
        <v>17</v>
      </c>
      <c r="G249" t="s">
        <v>14</v>
      </c>
      <c r="H249" t="s">
        <v>14</v>
      </c>
      <c r="I249" t="s">
        <v>792</v>
      </c>
    </row>
    <row r="250" spans="1:9" x14ac:dyDescent="0.25">
      <c r="A250" t="s">
        <v>527</v>
      </c>
      <c r="B250" t="s">
        <v>793</v>
      </c>
      <c r="C250" t="s">
        <v>794</v>
      </c>
      <c r="D250" t="s">
        <v>791</v>
      </c>
      <c r="E250" t="s">
        <v>28</v>
      </c>
      <c r="F250" t="s">
        <v>17</v>
      </c>
      <c r="G250" t="s">
        <v>14</v>
      </c>
      <c r="H250" t="s">
        <v>14</v>
      </c>
      <c r="I250" t="s">
        <v>792</v>
      </c>
    </row>
    <row r="251" spans="1:9" x14ac:dyDescent="0.25">
      <c r="A251" t="s">
        <v>527</v>
      </c>
      <c r="B251" t="s">
        <v>795</v>
      </c>
      <c r="C251" t="s">
        <v>796</v>
      </c>
      <c r="D251" t="s">
        <v>791</v>
      </c>
      <c r="E251" t="s">
        <v>28</v>
      </c>
      <c r="F251" t="s">
        <v>17</v>
      </c>
      <c r="G251" t="s">
        <v>14</v>
      </c>
      <c r="H251" t="s">
        <v>14</v>
      </c>
      <c r="I251" t="s">
        <v>792</v>
      </c>
    </row>
    <row r="252" spans="1:9" x14ac:dyDescent="0.25">
      <c r="A252" t="s">
        <v>527</v>
      </c>
      <c r="B252" t="s">
        <v>797</v>
      </c>
      <c r="C252" t="s">
        <v>798</v>
      </c>
      <c r="D252" t="s">
        <v>791</v>
      </c>
      <c r="E252" t="s">
        <v>28</v>
      </c>
      <c r="F252" t="s">
        <v>17</v>
      </c>
      <c r="G252" t="s">
        <v>14</v>
      </c>
      <c r="H252" t="s">
        <v>14</v>
      </c>
      <c r="I252" t="s">
        <v>792</v>
      </c>
    </row>
    <row r="253" spans="1:9" x14ac:dyDescent="0.25">
      <c r="A253" t="s">
        <v>527</v>
      </c>
      <c r="B253" t="s">
        <v>799</v>
      </c>
      <c r="C253" t="s">
        <v>800</v>
      </c>
      <c r="D253" t="s">
        <v>791</v>
      </c>
      <c r="E253" t="s">
        <v>28</v>
      </c>
      <c r="F253" t="s">
        <v>17</v>
      </c>
      <c r="G253" t="s">
        <v>14</v>
      </c>
      <c r="H253" t="s">
        <v>14</v>
      </c>
      <c r="I253" t="s">
        <v>15</v>
      </c>
    </row>
    <row r="254" spans="1:9" x14ac:dyDescent="0.25">
      <c r="A254" t="s">
        <v>527</v>
      </c>
      <c r="B254" t="s">
        <v>801</v>
      </c>
      <c r="C254" t="s">
        <v>802</v>
      </c>
      <c r="D254" t="s">
        <v>791</v>
      </c>
      <c r="E254" t="s">
        <v>28</v>
      </c>
      <c r="F254" t="s">
        <v>17</v>
      </c>
      <c r="G254" t="s">
        <v>14</v>
      </c>
      <c r="H254" t="s">
        <v>14</v>
      </c>
      <c r="I254" t="s">
        <v>15</v>
      </c>
    </row>
    <row r="255" spans="1:9" x14ac:dyDescent="0.25">
      <c r="A255" t="s">
        <v>527</v>
      </c>
      <c r="B255" t="s">
        <v>803</v>
      </c>
      <c r="C255" t="s">
        <v>804</v>
      </c>
      <c r="D255" t="s">
        <v>791</v>
      </c>
      <c r="E255" t="s">
        <v>28</v>
      </c>
      <c r="F255" t="s">
        <v>17</v>
      </c>
      <c r="G255" t="s">
        <v>14</v>
      </c>
      <c r="H255" t="s">
        <v>14</v>
      </c>
      <c r="I255" t="s">
        <v>805</v>
      </c>
    </row>
    <row r="256" spans="1:9" x14ac:dyDescent="0.25">
      <c r="A256" t="s">
        <v>527</v>
      </c>
      <c r="B256" t="s">
        <v>806</v>
      </c>
      <c r="C256" t="s">
        <v>807</v>
      </c>
      <c r="D256" t="s">
        <v>791</v>
      </c>
      <c r="E256" t="s">
        <v>28</v>
      </c>
      <c r="F256" t="s">
        <v>17</v>
      </c>
      <c r="G256" t="s">
        <v>14</v>
      </c>
      <c r="H256" t="s">
        <v>14</v>
      </c>
      <c r="I256" t="s">
        <v>805</v>
      </c>
    </row>
    <row r="257" spans="1:9" x14ac:dyDescent="0.25">
      <c r="A257" t="s">
        <v>527</v>
      </c>
      <c r="B257" t="s">
        <v>808</v>
      </c>
      <c r="C257" t="s">
        <v>809</v>
      </c>
      <c r="D257" t="s">
        <v>791</v>
      </c>
      <c r="E257" t="s">
        <v>28</v>
      </c>
      <c r="F257" t="s">
        <v>17</v>
      </c>
      <c r="G257" t="s">
        <v>14</v>
      </c>
      <c r="H257" t="s">
        <v>14</v>
      </c>
      <c r="I257" t="s">
        <v>805</v>
      </c>
    </row>
    <row r="258" spans="1:9" x14ac:dyDescent="0.25">
      <c r="A258" t="s">
        <v>527</v>
      </c>
      <c r="B258" t="s">
        <v>810</v>
      </c>
      <c r="C258" t="s">
        <v>811</v>
      </c>
      <c r="D258" t="s">
        <v>791</v>
      </c>
      <c r="E258" t="s">
        <v>28</v>
      </c>
      <c r="F258" t="s">
        <v>17</v>
      </c>
      <c r="G258" t="s">
        <v>14</v>
      </c>
      <c r="H258" t="s">
        <v>14</v>
      </c>
      <c r="I258" t="s">
        <v>782</v>
      </c>
    </row>
    <row r="259" spans="1:9" x14ac:dyDescent="0.25">
      <c r="A259" t="s">
        <v>517</v>
      </c>
      <c r="B259" t="s">
        <v>812</v>
      </c>
      <c r="C259" t="s">
        <v>813</v>
      </c>
      <c r="D259" t="s">
        <v>814</v>
      </c>
      <c r="E259" t="s">
        <v>28</v>
      </c>
      <c r="F259" t="s">
        <v>21</v>
      </c>
      <c r="G259" t="s">
        <v>14</v>
      </c>
      <c r="H259" t="s">
        <v>14</v>
      </c>
      <c r="I259" t="s">
        <v>25</v>
      </c>
    </row>
    <row r="260" spans="1:9" x14ac:dyDescent="0.25">
      <c r="A260" t="s">
        <v>517</v>
      </c>
      <c r="B260" t="s">
        <v>815</v>
      </c>
      <c r="C260" t="s">
        <v>816</v>
      </c>
      <c r="D260" t="s">
        <v>814</v>
      </c>
      <c r="E260" t="s">
        <v>28</v>
      </c>
      <c r="F260" t="s">
        <v>21</v>
      </c>
      <c r="G260" t="s">
        <v>14</v>
      </c>
      <c r="H260" t="s">
        <v>14</v>
      </c>
      <c r="I260" t="s">
        <v>25</v>
      </c>
    </row>
    <row r="261" spans="1:9" x14ac:dyDescent="0.25">
      <c r="A261" t="s">
        <v>518</v>
      </c>
      <c r="B261" t="s">
        <v>817</v>
      </c>
      <c r="C261" t="s">
        <v>818</v>
      </c>
      <c r="D261" t="s">
        <v>819</v>
      </c>
      <c r="E261" t="s">
        <v>28</v>
      </c>
      <c r="F261" t="s">
        <v>21</v>
      </c>
      <c r="G261" t="s">
        <v>14</v>
      </c>
      <c r="H261" t="s">
        <v>14</v>
      </c>
      <c r="I261" t="s">
        <v>30</v>
      </c>
    </row>
    <row r="262" spans="1:9" x14ac:dyDescent="0.25">
      <c r="A262" t="s">
        <v>518</v>
      </c>
      <c r="B262" t="s">
        <v>820</v>
      </c>
      <c r="C262" t="s">
        <v>821</v>
      </c>
      <c r="D262" t="s">
        <v>819</v>
      </c>
      <c r="E262" t="s">
        <v>28</v>
      </c>
      <c r="F262" t="s">
        <v>21</v>
      </c>
      <c r="G262" t="s">
        <v>14</v>
      </c>
      <c r="H262" t="s">
        <v>14</v>
      </c>
      <c r="I262" t="s">
        <v>30</v>
      </c>
    </row>
    <row r="263" spans="1:9" x14ac:dyDescent="0.25">
      <c r="A263" t="s">
        <v>518</v>
      </c>
      <c r="B263" t="s">
        <v>822</v>
      </c>
      <c r="C263" t="s">
        <v>823</v>
      </c>
      <c r="D263" t="s">
        <v>819</v>
      </c>
      <c r="E263" t="s">
        <v>28</v>
      </c>
      <c r="F263" t="s">
        <v>21</v>
      </c>
      <c r="G263" t="s">
        <v>14</v>
      </c>
      <c r="H263" t="s">
        <v>14</v>
      </c>
      <c r="I263" t="s">
        <v>30</v>
      </c>
    </row>
    <row r="264" spans="1:9" x14ac:dyDescent="0.25">
      <c r="A264" t="s">
        <v>519</v>
      </c>
      <c r="B264" t="s">
        <v>824</v>
      </c>
      <c r="C264" t="s">
        <v>825</v>
      </c>
      <c r="D264" t="s">
        <v>826</v>
      </c>
      <c r="E264" t="s">
        <v>28</v>
      </c>
      <c r="F264" t="s">
        <v>21</v>
      </c>
      <c r="G264" t="s">
        <v>14</v>
      </c>
      <c r="H264" t="s">
        <v>14</v>
      </c>
      <c r="I264" t="s">
        <v>30</v>
      </c>
    </row>
    <row r="265" spans="1:9" x14ac:dyDescent="0.25">
      <c r="A265" t="s">
        <v>519</v>
      </c>
      <c r="B265" t="s">
        <v>827</v>
      </c>
      <c r="C265" t="s">
        <v>828</v>
      </c>
      <c r="D265" t="s">
        <v>826</v>
      </c>
      <c r="E265" t="s">
        <v>28</v>
      </c>
      <c r="F265" t="s">
        <v>21</v>
      </c>
      <c r="G265" t="s">
        <v>14</v>
      </c>
      <c r="H265" t="s">
        <v>14</v>
      </c>
      <c r="I265" t="s">
        <v>30</v>
      </c>
    </row>
    <row r="266" spans="1:9" x14ac:dyDescent="0.25">
      <c r="A266" t="s">
        <v>519</v>
      </c>
      <c r="B266" t="s">
        <v>829</v>
      </c>
      <c r="C266" t="s">
        <v>830</v>
      </c>
      <c r="D266" t="s">
        <v>826</v>
      </c>
      <c r="E266" t="s">
        <v>28</v>
      </c>
      <c r="F266" t="s">
        <v>21</v>
      </c>
      <c r="G266" t="s">
        <v>14</v>
      </c>
      <c r="H266" t="s">
        <v>14</v>
      </c>
      <c r="I266" t="s">
        <v>30</v>
      </c>
    </row>
    <row r="267" spans="1:9" x14ac:dyDescent="0.25">
      <c r="A267" t="s">
        <v>519</v>
      </c>
      <c r="B267" t="s">
        <v>831</v>
      </c>
      <c r="C267" t="s">
        <v>832</v>
      </c>
      <c r="D267" t="s">
        <v>826</v>
      </c>
      <c r="E267" t="s">
        <v>28</v>
      </c>
      <c r="F267" t="s">
        <v>21</v>
      </c>
      <c r="G267" t="s">
        <v>14</v>
      </c>
      <c r="H267" t="s">
        <v>14</v>
      </c>
      <c r="I267" t="s">
        <v>30</v>
      </c>
    </row>
    <row r="268" spans="1:9" x14ac:dyDescent="0.25">
      <c r="A268" t="s">
        <v>520</v>
      </c>
      <c r="B268" t="s">
        <v>833</v>
      </c>
      <c r="C268" t="s">
        <v>834</v>
      </c>
      <c r="D268" t="s">
        <v>835</v>
      </c>
      <c r="E268" t="s">
        <v>28</v>
      </c>
      <c r="F268" t="s">
        <v>21</v>
      </c>
      <c r="G268" t="s">
        <v>14</v>
      </c>
      <c r="H268" t="s">
        <v>14</v>
      </c>
      <c r="I268" t="s">
        <v>16</v>
      </c>
    </row>
    <row r="269" spans="1:9" x14ac:dyDescent="0.25">
      <c r="A269" t="s">
        <v>520</v>
      </c>
      <c r="B269" t="s">
        <v>836</v>
      </c>
      <c r="C269" t="s">
        <v>837</v>
      </c>
      <c r="D269" t="s">
        <v>835</v>
      </c>
      <c r="E269" t="s">
        <v>28</v>
      </c>
      <c r="F269" t="s">
        <v>21</v>
      </c>
      <c r="G269" t="s">
        <v>14</v>
      </c>
      <c r="H269" t="s">
        <v>14</v>
      </c>
      <c r="I269" t="s">
        <v>16</v>
      </c>
    </row>
    <row r="270" spans="1:9" x14ac:dyDescent="0.25">
      <c r="A270" t="s">
        <v>520</v>
      </c>
      <c r="B270" t="s">
        <v>838</v>
      </c>
      <c r="C270" t="s">
        <v>839</v>
      </c>
      <c r="D270" t="s">
        <v>835</v>
      </c>
      <c r="E270" t="s">
        <v>28</v>
      </c>
      <c r="F270" t="s">
        <v>21</v>
      </c>
      <c r="G270" t="s">
        <v>14</v>
      </c>
      <c r="H270" t="s">
        <v>14</v>
      </c>
      <c r="I270" t="s">
        <v>16</v>
      </c>
    </row>
    <row r="271" spans="1:9" x14ac:dyDescent="0.25">
      <c r="A271" t="s">
        <v>520</v>
      </c>
      <c r="B271" t="s">
        <v>840</v>
      </c>
      <c r="C271" t="s">
        <v>841</v>
      </c>
      <c r="D271" t="s">
        <v>835</v>
      </c>
      <c r="E271" t="s">
        <v>28</v>
      </c>
      <c r="F271" t="s">
        <v>21</v>
      </c>
      <c r="G271" t="s">
        <v>14</v>
      </c>
      <c r="H271" t="s">
        <v>14</v>
      </c>
      <c r="I271" t="s">
        <v>16</v>
      </c>
    </row>
    <row r="272" spans="1:9" x14ac:dyDescent="0.25">
      <c r="A272" t="s">
        <v>521</v>
      </c>
      <c r="B272" t="s">
        <v>842</v>
      </c>
      <c r="C272" t="s">
        <v>843</v>
      </c>
      <c r="D272" t="s">
        <v>844</v>
      </c>
      <c r="E272" t="s">
        <v>28</v>
      </c>
      <c r="F272" t="s">
        <v>21</v>
      </c>
      <c r="G272" t="s">
        <v>14</v>
      </c>
      <c r="H272" t="s">
        <v>14</v>
      </c>
      <c r="I272" t="s">
        <v>32</v>
      </c>
    </row>
    <row r="273" spans="1:9" x14ac:dyDescent="0.25">
      <c r="A273" t="s">
        <v>521</v>
      </c>
      <c r="B273" t="s">
        <v>845</v>
      </c>
      <c r="C273" t="s">
        <v>846</v>
      </c>
      <c r="D273" t="s">
        <v>844</v>
      </c>
      <c r="E273" t="s">
        <v>28</v>
      </c>
      <c r="F273" t="s">
        <v>21</v>
      </c>
      <c r="G273" t="s">
        <v>14</v>
      </c>
      <c r="H273" t="s">
        <v>14</v>
      </c>
      <c r="I273" t="s">
        <v>32</v>
      </c>
    </row>
    <row r="274" spans="1:9" x14ac:dyDescent="0.25">
      <c r="A274" t="s">
        <v>521</v>
      </c>
      <c r="B274" t="s">
        <v>847</v>
      </c>
      <c r="C274" t="s">
        <v>848</v>
      </c>
      <c r="D274" t="s">
        <v>844</v>
      </c>
      <c r="E274" t="s">
        <v>28</v>
      </c>
      <c r="F274" t="s">
        <v>21</v>
      </c>
      <c r="G274" t="s">
        <v>14</v>
      </c>
      <c r="H274" t="s">
        <v>14</v>
      </c>
      <c r="I274" t="s">
        <v>32</v>
      </c>
    </row>
    <row r="275" spans="1:9" x14ac:dyDescent="0.25">
      <c r="A275" t="s">
        <v>521</v>
      </c>
      <c r="B275" t="s">
        <v>849</v>
      </c>
      <c r="C275" t="s">
        <v>850</v>
      </c>
      <c r="D275" t="s">
        <v>844</v>
      </c>
      <c r="E275" t="s">
        <v>28</v>
      </c>
      <c r="F275" t="s">
        <v>21</v>
      </c>
      <c r="G275" t="s">
        <v>14</v>
      </c>
      <c r="H275" t="s">
        <v>14</v>
      </c>
      <c r="I275" t="s">
        <v>32</v>
      </c>
    </row>
    <row r="276" spans="1:9" x14ac:dyDescent="0.25">
      <c r="A276" t="s">
        <v>522</v>
      </c>
      <c r="B276" t="s">
        <v>851</v>
      </c>
      <c r="C276" t="s">
        <v>852</v>
      </c>
      <c r="D276" t="s">
        <v>853</v>
      </c>
      <c r="E276" t="s">
        <v>28</v>
      </c>
      <c r="F276" t="s">
        <v>21</v>
      </c>
      <c r="G276" t="s">
        <v>14</v>
      </c>
      <c r="H276" t="s">
        <v>14</v>
      </c>
      <c r="I276" t="s">
        <v>26</v>
      </c>
    </row>
    <row r="277" spans="1:9" x14ac:dyDescent="0.25">
      <c r="A277" t="s">
        <v>522</v>
      </c>
      <c r="B277" t="s">
        <v>854</v>
      </c>
      <c r="C277" t="s">
        <v>855</v>
      </c>
      <c r="D277" t="s">
        <v>853</v>
      </c>
      <c r="E277" t="s">
        <v>28</v>
      </c>
      <c r="F277" t="s">
        <v>21</v>
      </c>
      <c r="G277" t="s">
        <v>14</v>
      </c>
      <c r="H277" t="s">
        <v>14</v>
      </c>
      <c r="I277" t="s">
        <v>26</v>
      </c>
    </row>
    <row r="278" spans="1:9" x14ac:dyDescent="0.25">
      <c r="A278" t="s">
        <v>522</v>
      </c>
      <c r="B278" t="s">
        <v>856</v>
      </c>
      <c r="C278" t="s">
        <v>857</v>
      </c>
      <c r="D278" t="s">
        <v>853</v>
      </c>
      <c r="E278" t="s">
        <v>28</v>
      </c>
      <c r="F278" t="s">
        <v>21</v>
      </c>
      <c r="G278" t="s">
        <v>14</v>
      </c>
      <c r="H278" t="s">
        <v>14</v>
      </c>
      <c r="I278" t="s">
        <v>26</v>
      </c>
    </row>
    <row r="279" spans="1:9" x14ac:dyDescent="0.25">
      <c r="A279" t="s">
        <v>522</v>
      </c>
      <c r="B279" t="s">
        <v>858</v>
      </c>
      <c r="C279" t="s">
        <v>859</v>
      </c>
      <c r="D279" t="s">
        <v>853</v>
      </c>
      <c r="E279" t="s">
        <v>28</v>
      </c>
      <c r="F279" t="s">
        <v>21</v>
      </c>
      <c r="G279" t="s">
        <v>14</v>
      </c>
      <c r="H279" t="s">
        <v>14</v>
      </c>
      <c r="I279" t="s">
        <v>26</v>
      </c>
    </row>
    <row r="280" spans="1:9" x14ac:dyDescent="0.25">
      <c r="A280" t="s">
        <v>523</v>
      </c>
      <c r="B280" t="s">
        <v>860</v>
      </c>
      <c r="C280" t="s">
        <v>861</v>
      </c>
      <c r="D280" t="s">
        <v>862</v>
      </c>
      <c r="E280" t="s">
        <v>28</v>
      </c>
      <c r="F280" t="s">
        <v>21</v>
      </c>
      <c r="G280" t="s">
        <v>14</v>
      </c>
      <c r="H280" t="s">
        <v>14</v>
      </c>
      <c r="I280" t="s">
        <v>22</v>
      </c>
    </row>
    <row r="281" spans="1:9" x14ac:dyDescent="0.25">
      <c r="A281" t="s">
        <v>523</v>
      </c>
      <c r="B281" t="s">
        <v>863</v>
      </c>
      <c r="C281" t="s">
        <v>864</v>
      </c>
      <c r="D281" t="s">
        <v>862</v>
      </c>
      <c r="E281" t="s">
        <v>28</v>
      </c>
      <c r="F281" t="s">
        <v>21</v>
      </c>
      <c r="G281" t="s">
        <v>14</v>
      </c>
      <c r="H281" t="s">
        <v>14</v>
      </c>
      <c r="I281" t="s">
        <v>22</v>
      </c>
    </row>
    <row r="282" spans="1:9" x14ac:dyDescent="0.25">
      <c r="A282" t="s">
        <v>523</v>
      </c>
      <c r="B282" t="s">
        <v>865</v>
      </c>
      <c r="C282" t="s">
        <v>866</v>
      </c>
      <c r="D282" t="s">
        <v>862</v>
      </c>
      <c r="E282" t="s">
        <v>28</v>
      </c>
      <c r="F282" t="s">
        <v>21</v>
      </c>
      <c r="G282" t="s">
        <v>14</v>
      </c>
      <c r="H282" t="s">
        <v>14</v>
      </c>
      <c r="I282" t="s">
        <v>22</v>
      </c>
    </row>
    <row r="283" spans="1:9" x14ac:dyDescent="0.25">
      <c r="A283" t="s">
        <v>524</v>
      </c>
      <c r="B283" t="s">
        <v>867</v>
      </c>
      <c r="C283" t="s">
        <v>868</v>
      </c>
      <c r="D283" t="s">
        <v>869</v>
      </c>
      <c r="E283" t="s">
        <v>28</v>
      </c>
      <c r="F283" t="s">
        <v>21</v>
      </c>
      <c r="G283" t="s">
        <v>14</v>
      </c>
      <c r="H283" t="s">
        <v>14</v>
      </c>
      <c r="I283" t="s">
        <v>34</v>
      </c>
    </row>
    <row r="284" spans="1:9" x14ac:dyDescent="0.25">
      <c r="A284" t="s">
        <v>524</v>
      </c>
      <c r="B284" t="s">
        <v>870</v>
      </c>
      <c r="C284" t="s">
        <v>871</v>
      </c>
      <c r="D284" t="s">
        <v>869</v>
      </c>
      <c r="E284" t="s">
        <v>28</v>
      </c>
      <c r="F284" t="s">
        <v>21</v>
      </c>
      <c r="G284" t="s">
        <v>14</v>
      </c>
      <c r="H284" t="s">
        <v>14</v>
      </c>
      <c r="I284" t="s">
        <v>34</v>
      </c>
    </row>
    <row r="285" spans="1:9" x14ac:dyDescent="0.25">
      <c r="A285" t="s">
        <v>524</v>
      </c>
      <c r="B285" t="s">
        <v>872</v>
      </c>
      <c r="C285" t="s">
        <v>873</v>
      </c>
      <c r="D285" t="s">
        <v>869</v>
      </c>
      <c r="E285" t="s">
        <v>28</v>
      </c>
      <c r="F285" t="s">
        <v>21</v>
      </c>
      <c r="G285" t="s">
        <v>14</v>
      </c>
      <c r="H285" t="s">
        <v>14</v>
      </c>
      <c r="I285" t="s">
        <v>34</v>
      </c>
    </row>
    <row r="286" spans="1:9" x14ac:dyDescent="0.25">
      <c r="A286" t="s">
        <v>525</v>
      </c>
      <c r="B286" t="s">
        <v>874</v>
      </c>
      <c r="C286" t="s">
        <v>875</v>
      </c>
      <c r="D286" t="s">
        <v>876</v>
      </c>
      <c r="E286" t="s">
        <v>28</v>
      </c>
      <c r="F286" t="s">
        <v>21</v>
      </c>
      <c r="G286" t="s">
        <v>14</v>
      </c>
      <c r="H286" t="s">
        <v>14</v>
      </c>
      <c r="I286" t="s">
        <v>25</v>
      </c>
    </row>
    <row r="287" spans="1:9" x14ac:dyDescent="0.25">
      <c r="A287" t="s">
        <v>525</v>
      </c>
      <c r="B287" t="s">
        <v>877</v>
      </c>
      <c r="C287" t="s">
        <v>878</v>
      </c>
      <c r="D287" t="s">
        <v>876</v>
      </c>
      <c r="E287" t="s">
        <v>28</v>
      </c>
      <c r="F287" t="s">
        <v>21</v>
      </c>
      <c r="G287" t="s">
        <v>14</v>
      </c>
      <c r="H287" t="s">
        <v>14</v>
      </c>
      <c r="I287" t="s">
        <v>25</v>
      </c>
    </row>
    <row r="288" spans="1:9" x14ac:dyDescent="0.25">
      <c r="A288" t="s">
        <v>525</v>
      </c>
      <c r="B288" t="s">
        <v>879</v>
      </c>
      <c r="C288" t="s">
        <v>880</v>
      </c>
      <c r="D288" t="s">
        <v>876</v>
      </c>
      <c r="E288" t="s">
        <v>28</v>
      </c>
      <c r="F288" t="s">
        <v>21</v>
      </c>
      <c r="G288" t="s">
        <v>14</v>
      </c>
      <c r="H288" t="s">
        <v>14</v>
      </c>
      <c r="I288" t="s">
        <v>25</v>
      </c>
    </row>
    <row r="289" spans="1:9" x14ac:dyDescent="0.25">
      <c r="A289" t="s">
        <v>525</v>
      </c>
      <c r="B289" t="s">
        <v>881</v>
      </c>
      <c r="C289" t="s">
        <v>882</v>
      </c>
      <c r="D289" t="s">
        <v>876</v>
      </c>
      <c r="E289" t="s">
        <v>28</v>
      </c>
      <c r="F289" t="s">
        <v>21</v>
      </c>
      <c r="G289" t="s">
        <v>14</v>
      </c>
      <c r="H289" t="s">
        <v>14</v>
      </c>
      <c r="I289" t="s">
        <v>25</v>
      </c>
    </row>
    <row r="290" spans="1:9" x14ac:dyDescent="0.25">
      <c r="A290" t="s">
        <v>490</v>
      </c>
      <c r="B290" t="s">
        <v>883</v>
      </c>
      <c r="C290" t="s">
        <v>884</v>
      </c>
      <c r="D290" t="s">
        <v>489</v>
      </c>
      <c r="E290" t="s">
        <v>28</v>
      </c>
      <c r="F290" t="s">
        <v>17</v>
      </c>
      <c r="G290" t="s">
        <v>14</v>
      </c>
      <c r="H290" t="s">
        <v>742</v>
      </c>
      <c r="I290" t="s">
        <v>34</v>
      </c>
    </row>
    <row r="291" spans="1:9" x14ac:dyDescent="0.25">
      <c r="A291" t="s">
        <v>490</v>
      </c>
      <c r="B291" t="s">
        <v>885</v>
      </c>
      <c r="C291" t="s">
        <v>886</v>
      </c>
      <c r="D291" t="s">
        <v>489</v>
      </c>
      <c r="E291" t="s">
        <v>28</v>
      </c>
      <c r="F291" t="s">
        <v>17</v>
      </c>
      <c r="G291" t="s">
        <v>14</v>
      </c>
      <c r="H291" t="s">
        <v>742</v>
      </c>
      <c r="I291" t="s">
        <v>34</v>
      </c>
    </row>
    <row r="292" spans="1:9" x14ac:dyDescent="0.25">
      <c r="A292" t="s">
        <v>490</v>
      </c>
      <c r="B292" t="s">
        <v>887</v>
      </c>
      <c r="C292" t="s">
        <v>888</v>
      </c>
      <c r="D292" t="s">
        <v>489</v>
      </c>
      <c r="E292" t="s">
        <v>28</v>
      </c>
      <c r="F292" t="s">
        <v>17</v>
      </c>
      <c r="G292" t="s">
        <v>14</v>
      </c>
      <c r="H292" t="s">
        <v>742</v>
      </c>
      <c r="I292" t="s">
        <v>34</v>
      </c>
    </row>
    <row r="293" spans="1:9" x14ac:dyDescent="0.25">
      <c r="A293" t="s">
        <v>490</v>
      </c>
      <c r="B293" t="s">
        <v>889</v>
      </c>
      <c r="C293" t="s">
        <v>890</v>
      </c>
      <c r="D293" t="s">
        <v>489</v>
      </c>
      <c r="E293" t="s">
        <v>28</v>
      </c>
      <c r="F293" t="s">
        <v>17</v>
      </c>
      <c r="G293" t="s">
        <v>14</v>
      </c>
      <c r="H293" t="s">
        <v>742</v>
      </c>
      <c r="I293" t="s">
        <v>34</v>
      </c>
    </row>
    <row r="294" spans="1:9" x14ac:dyDescent="0.25">
      <c r="A294" t="s">
        <v>492</v>
      </c>
      <c r="B294" t="s">
        <v>891</v>
      </c>
      <c r="C294" t="s">
        <v>892</v>
      </c>
      <c r="D294" t="s">
        <v>491</v>
      </c>
      <c r="E294" t="s">
        <v>28</v>
      </c>
      <c r="F294" t="s">
        <v>17</v>
      </c>
      <c r="G294" t="s">
        <v>14</v>
      </c>
      <c r="H294" t="s">
        <v>742</v>
      </c>
      <c r="I294" t="s">
        <v>15</v>
      </c>
    </row>
    <row r="295" spans="1:9" x14ac:dyDescent="0.25">
      <c r="A295" t="s">
        <v>492</v>
      </c>
      <c r="B295" t="s">
        <v>893</v>
      </c>
      <c r="C295" t="s">
        <v>894</v>
      </c>
      <c r="D295" t="s">
        <v>491</v>
      </c>
      <c r="E295" t="s">
        <v>28</v>
      </c>
      <c r="F295" t="s">
        <v>17</v>
      </c>
      <c r="G295" t="s">
        <v>14</v>
      </c>
      <c r="H295" t="s">
        <v>742</v>
      </c>
      <c r="I295" t="s">
        <v>15</v>
      </c>
    </row>
    <row r="296" spans="1:9" x14ac:dyDescent="0.25">
      <c r="A296" t="s">
        <v>492</v>
      </c>
      <c r="B296" t="s">
        <v>895</v>
      </c>
      <c r="C296" t="s">
        <v>896</v>
      </c>
      <c r="D296" t="s">
        <v>491</v>
      </c>
      <c r="E296" t="s">
        <v>28</v>
      </c>
      <c r="F296" t="s">
        <v>17</v>
      </c>
      <c r="G296" t="s">
        <v>14</v>
      </c>
      <c r="H296" t="s">
        <v>742</v>
      </c>
      <c r="I296" t="s">
        <v>15</v>
      </c>
    </row>
    <row r="297" spans="1:9" x14ac:dyDescent="0.25">
      <c r="A297" t="s">
        <v>492</v>
      </c>
      <c r="B297" t="s">
        <v>897</v>
      </c>
      <c r="C297" t="s">
        <v>898</v>
      </c>
      <c r="D297" t="s">
        <v>491</v>
      </c>
      <c r="E297" t="s">
        <v>28</v>
      </c>
      <c r="F297" t="s">
        <v>17</v>
      </c>
      <c r="G297" t="s">
        <v>14</v>
      </c>
      <c r="H297" t="s">
        <v>742</v>
      </c>
      <c r="I297" t="s">
        <v>15</v>
      </c>
    </row>
    <row r="298" spans="1:9" x14ac:dyDescent="0.25">
      <c r="A298" t="s">
        <v>494</v>
      </c>
      <c r="B298" t="s">
        <v>899</v>
      </c>
      <c r="C298" t="s">
        <v>900</v>
      </c>
      <c r="D298" t="s">
        <v>493</v>
      </c>
      <c r="E298" t="s">
        <v>28</v>
      </c>
      <c r="F298" t="s">
        <v>17</v>
      </c>
      <c r="G298" t="s">
        <v>14</v>
      </c>
      <c r="H298" t="s">
        <v>742</v>
      </c>
      <c r="I298" t="s">
        <v>36</v>
      </c>
    </row>
    <row r="299" spans="1:9" x14ac:dyDescent="0.25">
      <c r="A299" t="s">
        <v>494</v>
      </c>
      <c r="B299" t="s">
        <v>901</v>
      </c>
      <c r="C299" t="s">
        <v>902</v>
      </c>
      <c r="D299" t="s">
        <v>493</v>
      </c>
      <c r="E299" t="s">
        <v>28</v>
      </c>
      <c r="F299" t="s">
        <v>17</v>
      </c>
      <c r="G299" t="s">
        <v>14</v>
      </c>
      <c r="H299" t="s">
        <v>742</v>
      </c>
      <c r="I299" t="s">
        <v>36</v>
      </c>
    </row>
    <row r="300" spans="1:9" x14ac:dyDescent="0.25">
      <c r="A300" t="s">
        <v>494</v>
      </c>
      <c r="B300" t="s">
        <v>903</v>
      </c>
      <c r="C300" t="s">
        <v>904</v>
      </c>
      <c r="D300" t="s">
        <v>493</v>
      </c>
      <c r="E300" t="s">
        <v>28</v>
      </c>
      <c r="F300" t="s">
        <v>17</v>
      </c>
      <c r="G300" t="s">
        <v>14</v>
      </c>
      <c r="H300" t="s">
        <v>742</v>
      </c>
      <c r="I300" t="s">
        <v>36</v>
      </c>
    </row>
    <row r="301" spans="1:9" x14ac:dyDescent="0.25">
      <c r="A301" t="s">
        <v>494</v>
      </c>
      <c r="B301" t="s">
        <v>905</v>
      </c>
      <c r="C301" t="s">
        <v>906</v>
      </c>
      <c r="D301" t="s">
        <v>493</v>
      </c>
      <c r="E301" t="s">
        <v>28</v>
      </c>
      <c r="F301" t="s">
        <v>17</v>
      </c>
      <c r="G301" t="s">
        <v>14</v>
      </c>
      <c r="H301" t="s">
        <v>742</v>
      </c>
      <c r="I301" t="s">
        <v>36</v>
      </c>
    </row>
    <row r="302" spans="1:9" x14ac:dyDescent="0.25">
      <c r="A302" t="s">
        <v>528</v>
      </c>
      <c r="B302" t="s">
        <v>907</v>
      </c>
      <c r="C302" t="s">
        <v>908</v>
      </c>
      <c r="D302" t="s">
        <v>909</v>
      </c>
      <c r="E302" t="s">
        <v>28</v>
      </c>
      <c r="F302" t="s">
        <v>17</v>
      </c>
      <c r="G302" t="s">
        <v>14</v>
      </c>
      <c r="H302" t="s">
        <v>14</v>
      </c>
      <c r="I302" t="s">
        <v>15</v>
      </c>
    </row>
    <row r="303" spans="1:9" x14ac:dyDescent="0.25">
      <c r="A303" t="s">
        <v>528</v>
      </c>
      <c r="B303" t="s">
        <v>910</v>
      </c>
      <c r="C303" t="s">
        <v>911</v>
      </c>
      <c r="D303" t="s">
        <v>909</v>
      </c>
      <c r="E303" t="s">
        <v>28</v>
      </c>
      <c r="F303" t="s">
        <v>17</v>
      </c>
      <c r="G303" t="s">
        <v>14</v>
      </c>
      <c r="H303" t="s">
        <v>14</v>
      </c>
      <c r="I303" t="s">
        <v>15</v>
      </c>
    </row>
    <row r="304" spans="1:9" x14ac:dyDescent="0.25">
      <c r="A304" t="s">
        <v>528</v>
      </c>
      <c r="B304" t="s">
        <v>912</v>
      </c>
      <c r="C304" t="s">
        <v>913</v>
      </c>
      <c r="D304" t="s">
        <v>909</v>
      </c>
      <c r="E304" t="s">
        <v>28</v>
      </c>
      <c r="F304" t="s">
        <v>17</v>
      </c>
      <c r="G304" t="s">
        <v>14</v>
      </c>
      <c r="H304" t="s">
        <v>14</v>
      </c>
      <c r="I304" t="s">
        <v>15</v>
      </c>
    </row>
    <row r="305" spans="1:9" x14ac:dyDescent="0.25">
      <c r="A305" t="s">
        <v>528</v>
      </c>
      <c r="B305" t="s">
        <v>914</v>
      </c>
      <c r="C305" t="s">
        <v>915</v>
      </c>
      <c r="D305" t="s">
        <v>909</v>
      </c>
      <c r="E305" t="s">
        <v>28</v>
      </c>
      <c r="F305" t="s">
        <v>17</v>
      </c>
      <c r="G305" t="s">
        <v>14</v>
      </c>
      <c r="H305" t="s">
        <v>14</v>
      </c>
      <c r="I305" t="s">
        <v>15</v>
      </c>
    </row>
    <row r="306" spans="1:9" x14ac:dyDescent="0.25">
      <c r="A306" t="s">
        <v>530</v>
      </c>
      <c r="B306" t="s">
        <v>916</v>
      </c>
      <c r="C306" t="s">
        <v>917</v>
      </c>
      <c r="D306" t="s">
        <v>529</v>
      </c>
      <c r="E306" t="s">
        <v>28</v>
      </c>
      <c r="F306" t="s">
        <v>17</v>
      </c>
      <c r="G306" t="s">
        <v>14</v>
      </c>
      <c r="H306" t="s">
        <v>14</v>
      </c>
      <c r="I306" t="s">
        <v>30</v>
      </c>
    </row>
    <row r="307" spans="1:9" x14ac:dyDescent="0.25">
      <c r="A307" t="s">
        <v>530</v>
      </c>
      <c r="B307" t="s">
        <v>918</v>
      </c>
      <c r="C307" t="s">
        <v>919</v>
      </c>
      <c r="D307" t="s">
        <v>529</v>
      </c>
      <c r="E307" t="s">
        <v>28</v>
      </c>
      <c r="F307" t="s">
        <v>17</v>
      </c>
      <c r="G307" t="s">
        <v>14</v>
      </c>
      <c r="H307" t="s">
        <v>14</v>
      </c>
      <c r="I307" t="s">
        <v>30</v>
      </c>
    </row>
    <row r="308" spans="1:9" x14ac:dyDescent="0.25">
      <c r="A308" t="s">
        <v>530</v>
      </c>
      <c r="B308" t="s">
        <v>920</v>
      </c>
      <c r="C308" t="s">
        <v>921</v>
      </c>
      <c r="D308" t="s">
        <v>529</v>
      </c>
      <c r="E308" t="s">
        <v>28</v>
      </c>
      <c r="F308" t="s">
        <v>17</v>
      </c>
      <c r="G308" t="s">
        <v>14</v>
      </c>
      <c r="H308" t="s">
        <v>14</v>
      </c>
      <c r="I308" t="s">
        <v>30</v>
      </c>
    </row>
    <row r="309" spans="1:9" x14ac:dyDescent="0.25">
      <c r="A309" t="s">
        <v>530</v>
      </c>
      <c r="B309" t="s">
        <v>922</v>
      </c>
      <c r="C309" t="s">
        <v>923</v>
      </c>
      <c r="D309" t="s">
        <v>529</v>
      </c>
      <c r="E309" t="s">
        <v>28</v>
      </c>
      <c r="F309" t="s">
        <v>17</v>
      </c>
      <c r="G309" t="s">
        <v>14</v>
      </c>
      <c r="H309" t="s">
        <v>14</v>
      </c>
      <c r="I309" t="s">
        <v>30</v>
      </c>
    </row>
    <row r="310" spans="1:9" x14ac:dyDescent="0.25">
      <c r="A310" t="s">
        <v>532</v>
      </c>
      <c r="B310" t="s">
        <v>924</v>
      </c>
      <c r="C310" t="s">
        <v>925</v>
      </c>
      <c r="D310" t="s">
        <v>531</v>
      </c>
      <c r="E310" t="s">
        <v>28</v>
      </c>
      <c r="F310" t="s">
        <v>17</v>
      </c>
      <c r="G310" t="s">
        <v>14</v>
      </c>
      <c r="H310" t="s">
        <v>14</v>
      </c>
      <c r="I310" t="s">
        <v>663</v>
      </c>
    </row>
    <row r="311" spans="1:9" x14ac:dyDescent="0.25">
      <c r="A311" t="s">
        <v>532</v>
      </c>
      <c r="B311" t="s">
        <v>926</v>
      </c>
      <c r="C311" t="s">
        <v>927</v>
      </c>
      <c r="D311" t="s">
        <v>531</v>
      </c>
      <c r="E311" t="s">
        <v>28</v>
      </c>
      <c r="F311" t="s">
        <v>17</v>
      </c>
      <c r="G311" t="s">
        <v>14</v>
      </c>
      <c r="H311" t="s">
        <v>14</v>
      </c>
      <c r="I311" t="s">
        <v>663</v>
      </c>
    </row>
    <row r="312" spans="1:9" x14ac:dyDescent="0.25">
      <c r="A312" t="s">
        <v>532</v>
      </c>
      <c r="B312" t="s">
        <v>928</v>
      </c>
      <c r="C312" t="s">
        <v>929</v>
      </c>
      <c r="D312" t="s">
        <v>531</v>
      </c>
      <c r="E312" t="s">
        <v>28</v>
      </c>
      <c r="F312" t="s">
        <v>17</v>
      </c>
      <c r="G312" t="s">
        <v>14</v>
      </c>
      <c r="H312" t="s">
        <v>14</v>
      </c>
      <c r="I312" t="s">
        <v>663</v>
      </c>
    </row>
    <row r="313" spans="1:9" x14ac:dyDescent="0.25">
      <c r="A313" t="s">
        <v>532</v>
      </c>
      <c r="B313" t="s">
        <v>930</v>
      </c>
      <c r="C313" t="s">
        <v>931</v>
      </c>
      <c r="D313" t="s">
        <v>531</v>
      </c>
      <c r="E313" t="s">
        <v>28</v>
      </c>
      <c r="F313" t="s">
        <v>17</v>
      </c>
      <c r="G313" t="s">
        <v>14</v>
      </c>
      <c r="H313" t="s">
        <v>14</v>
      </c>
      <c r="I313" t="s">
        <v>663</v>
      </c>
    </row>
    <row r="314" spans="1:9" x14ac:dyDescent="0.25">
      <c r="A314" t="s">
        <v>534</v>
      </c>
      <c r="B314" t="s">
        <v>932</v>
      </c>
      <c r="C314" t="s">
        <v>933</v>
      </c>
      <c r="D314" t="s">
        <v>533</v>
      </c>
      <c r="E314" t="s">
        <v>28</v>
      </c>
      <c r="F314" t="s">
        <v>17</v>
      </c>
      <c r="G314" t="s">
        <v>14</v>
      </c>
      <c r="H314" t="s">
        <v>14</v>
      </c>
      <c r="I314" t="s">
        <v>16</v>
      </c>
    </row>
    <row r="315" spans="1:9" x14ac:dyDescent="0.25">
      <c r="A315" t="s">
        <v>534</v>
      </c>
      <c r="B315" t="s">
        <v>934</v>
      </c>
      <c r="C315" t="s">
        <v>935</v>
      </c>
      <c r="D315" t="s">
        <v>533</v>
      </c>
      <c r="E315" t="s">
        <v>28</v>
      </c>
      <c r="F315" t="s">
        <v>17</v>
      </c>
      <c r="G315" t="s">
        <v>14</v>
      </c>
      <c r="H315" t="s">
        <v>14</v>
      </c>
      <c r="I315" t="s">
        <v>16</v>
      </c>
    </row>
    <row r="316" spans="1:9" x14ac:dyDescent="0.25">
      <c r="A316" t="s">
        <v>534</v>
      </c>
      <c r="B316" t="s">
        <v>936</v>
      </c>
      <c r="C316" t="s">
        <v>937</v>
      </c>
      <c r="D316" t="s">
        <v>533</v>
      </c>
      <c r="E316" t="s">
        <v>28</v>
      </c>
      <c r="F316" t="s">
        <v>17</v>
      </c>
      <c r="G316" t="s">
        <v>14</v>
      </c>
      <c r="H316" t="s">
        <v>14</v>
      </c>
      <c r="I316" t="s">
        <v>16</v>
      </c>
    </row>
    <row r="317" spans="1:9" x14ac:dyDescent="0.25">
      <c r="A317" t="s">
        <v>534</v>
      </c>
      <c r="B317" t="s">
        <v>938</v>
      </c>
      <c r="C317" t="s">
        <v>939</v>
      </c>
      <c r="D317" t="s">
        <v>533</v>
      </c>
      <c r="E317" t="s">
        <v>28</v>
      </c>
      <c r="F317" t="s">
        <v>17</v>
      </c>
      <c r="G317" t="s">
        <v>14</v>
      </c>
      <c r="H317" t="s">
        <v>14</v>
      </c>
      <c r="I317" t="s">
        <v>16</v>
      </c>
    </row>
    <row r="318" spans="1:9" x14ac:dyDescent="0.25">
      <c r="A318" t="s">
        <v>536</v>
      </c>
      <c r="B318" t="s">
        <v>940</v>
      </c>
      <c r="C318" t="s">
        <v>941</v>
      </c>
      <c r="D318" t="s">
        <v>535</v>
      </c>
      <c r="E318" t="s">
        <v>28</v>
      </c>
      <c r="F318" t="s">
        <v>17</v>
      </c>
      <c r="G318" t="s">
        <v>14</v>
      </c>
      <c r="H318" t="s">
        <v>14</v>
      </c>
      <c r="I318" t="s">
        <v>25</v>
      </c>
    </row>
    <row r="319" spans="1:9" x14ac:dyDescent="0.25">
      <c r="A319" t="s">
        <v>536</v>
      </c>
      <c r="B319" t="s">
        <v>942</v>
      </c>
      <c r="C319" t="s">
        <v>943</v>
      </c>
      <c r="D319" t="s">
        <v>535</v>
      </c>
      <c r="E319" t="s">
        <v>28</v>
      </c>
      <c r="F319" t="s">
        <v>17</v>
      </c>
      <c r="G319" t="s">
        <v>14</v>
      </c>
      <c r="H319" t="s">
        <v>14</v>
      </c>
      <c r="I319" t="s">
        <v>25</v>
      </c>
    </row>
    <row r="320" spans="1:9" x14ac:dyDescent="0.25">
      <c r="A320" t="s">
        <v>536</v>
      </c>
      <c r="B320" t="s">
        <v>944</v>
      </c>
      <c r="C320" t="s">
        <v>945</v>
      </c>
      <c r="D320" t="s">
        <v>535</v>
      </c>
      <c r="E320" t="s">
        <v>28</v>
      </c>
      <c r="F320" t="s">
        <v>17</v>
      </c>
      <c r="G320" t="s">
        <v>14</v>
      </c>
      <c r="H320" t="s">
        <v>14</v>
      </c>
      <c r="I320" t="s">
        <v>25</v>
      </c>
    </row>
    <row r="321" spans="1:9" x14ac:dyDescent="0.25">
      <c r="A321" t="s">
        <v>536</v>
      </c>
      <c r="B321" t="s">
        <v>946</v>
      </c>
      <c r="C321" t="s">
        <v>947</v>
      </c>
      <c r="D321" t="s">
        <v>535</v>
      </c>
      <c r="E321" t="s">
        <v>28</v>
      </c>
      <c r="F321" t="s">
        <v>17</v>
      </c>
      <c r="G321" t="s">
        <v>14</v>
      </c>
      <c r="H321" t="s">
        <v>14</v>
      </c>
      <c r="I321" t="s">
        <v>25</v>
      </c>
    </row>
    <row r="322" spans="1:9" x14ac:dyDescent="0.25">
      <c r="A322" t="s">
        <v>537</v>
      </c>
      <c r="B322" t="s">
        <v>948</v>
      </c>
      <c r="C322" t="s">
        <v>949</v>
      </c>
      <c r="D322" t="s">
        <v>950</v>
      </c>
      <c r="E322" t="s">
        <v>28</v>
      </c>
      <c r="F322" t="s">
        <v>17</v>
      </c>
      <c r="G322" t="s">
        <v>14</v>
      </c>
      <c r="H322" t="s">
        <v>14</v>
      </c>
      <c r="I322" t="s">
        <v>18</v>
      </c>
    </row>
    <row r="323" spans="1:9" x14ac:dyDescent="0.25">
      <c r="A323" t="s">
        <v>537</v>
      </c>
      <c r="B323" t="s">
        <v>951</v>
      </c>
      <c r="C323" t="s">
        <v>952</v>
      </c>
      <c r="D323" t="s">
        <v>950</v>
      </c>
      <c r="E323" t="s">
        <v>28</v>
      </c>
      <c r="F323" t="s">
        <v>17</v>
      </c>
      <c r="G323" t="s">
        <v>14</v>
      </c>
      <c r="H323" t="s">
        <v>14</v>
      </c>
      <c r="I323" t="s">
        <v>18</v>
      </c>
    </row>
    <row r="324" spans="1:9" x14ac:dyDescent="0.25">
      <c r="A324" t="s">
        <v>537</v>
      </c>
      <c r="B324" t="s">
        <v>953</v>
      </c>
      <c r="C324" t="s">
        <v>954</v>
      </c>
      <c r="D324" t="s">
        <v>950</v>
      </c>
      <c r="E324" t="s">
        <v>28</v>
      </c>
      <c r="F324" t="s">
        <v>17</v>
      </c>
      <c r="G324" t="s">
        <v>14</v>
      </c>
      <c r="H324" t="s">
        <v>14</v>
      </c>
      <c r="I324" t="s">
        <v>18</v>
      </c>
    </row>
    <row r="325" spans="1:9" x14ac:dyDescent="0.25">
      <c r="A325" t="s">
        <v>537</v>
      </c>
      <c r="B325" t="s">
        <v>955</v>
      </c>
      <c r="C325" t="s">
        <v>956</v>
      </c>
      <c r="D325" t="s">
        <v>950</v>
      </c>
      <c r="E325" t="s">
        <v>28</v>
      </c>
      <c r="F325" t="s">
        <v>17</v>
      </c>
      <c r="G325" t="s">
        <v>14</v>
      </c>
      <c r="H325" t="s">
        <v>14</v>
      </c>
      <c r="I325" t="s">
        <v>18</v>
      </c>
    </row>
    <row r="326" spans="1:9" x14ac:dyDescent="0.25">
      <c r="A326" t="s">
        <v>90</v>
      </c>
      <c r="B326" t="s">
        <v>957</v>
      </c>
      <c r="C326" t="s">
        <v>958</v>
      </c>
      <c r="D326" t="s">
        <v>404</v>
      </c>
      <c r="E326" t="s">
        <v>28</v>
      </c>
      <c r="F326" t="s">
        <v>17</v>
      </c>
      <c r="G326" t="s">
        <v>14</v>
      </c>
      <c r="H326" t="s">
        <v>14</v>
      </c>
      <c r="I326" t="s">
        <v>23</v>
      </c>
    </row>
    <row r="327" spans="1:9" x14ac:dyDescent="0.25">
      <c r="A327" t="s">
        <v>90</v>
      </c>
      <c r="B327" t="s">
        <v>959</v>
      </c>
      <c r="C327" t="s">
        <v>960</v>
      </c>
      <c r="D327" t="s">
        <v>404</v>
      </c>
      <c r="E327" t="s">
        <v>28</v>
      </c>
      <c r="F327" t="s">
        <v>17</v>
      </c>
      <c r="G327" t="s">
        <v>14</v>
      </c>
      <c r="H327" t="s">
        <v>14</v>
      </c>
      <c r="I327" t="s">
        <v>23</v>
      </c>
    </row>
    <row r="328" spans="1:9" x14ac:dyDescent="0.25">
      <c r="A328" t="s">
        <v>90</v>
      </c>
      <c r="B328" t="s">
        <v>402</v>
      </c>
      <c r="C328" t="s">
        <v>403</v>
      </c>
      <c r="D328" t="s">
        <v>404</v>
      </c>
      <c r="E328" t="s">
        <v>28</v>
      </c>
      <c r="F328" t="s">
        <v>17</v>
      </c>
      <c r="G328" t="s">
        <v>14</v>
      </c>
      <c r="H328" t="s">
        <v>14</v>
      </c>
      <c r="I328" t="s">
        <v>23</v>
      </c>
    </row>
    <row r="329" spans="1:9" x14ac:dyDescent="0.25">
      <c r="A329" t="s">
        <v>90</v>
      </c>
      <c r="B329" t="s">
        <v>961</v>
      </c>
      <c r="C329" t="s">
        <v>962</v>
      </c>
      <c r="D329" t="s">
        <v>404</v>
      </c>
      <c r="E329" t="s">
        <v>28</v>
      </c>
      <c r="F329" t="s">
        <v>17</v>
      </c>
      <c r="G329" t="s">
        <v>14</v>
      </c>
      <c r="H329" t="s">
        <v>14</v>
      </c>
      <c r="I329" t="s">
        <v>23</v>
      </c>
    </row>
    <row r="330" spans="1:9" x14ac:dyDescent="0.25">
      <c r="A330" t="s">
        <v>91</v>
      </c>
      <c r="B330" t="s">
        <v>963</v>
      </c>
      <c r="C330" t="s">
        <v>964</v>
      </c>
      <c r="D330" t="s">
        <v>407</v>
      </c>
      <c r="E330" t="s">
        <v>28</v>
      </c>
      <c r="F330" t="s">
        <v>17</v>
      </c>
      <c r="G330" t="s">
        <v>14</v>
      </c>
      <c r="H330" t="s">
        <v>14</v>
      </c>
      <c r="I330" t="s">
        <v>32</v>
      </c>
    </row>
    <row r="331" spans="1:9" x14ac:dyDescent="0.25">
      <c r="A331" t="s">
        <v>91</v>
      </c>
      <c r="B331" t="s">
        <v>405</v>
      </c>
      <c r="C331" t="s">
        <v>406</v>
      </c>
      <c r="D331" t="s">
        <v>407</v>
      </c>
      <c r="E331" t="s">
        <v>28</v>
      </c>
      <c r="F331" t="s">
        <v>17</v>
      </c>
      <c r="G331" t="s">
        <v>14</v>
      </c>
      <c r="H331" t="s">
        <v>14</v>
      </c>
      <c r="I331" t="s">
        <v>32</v>
      </c>
    </row>
    <row r="332" spans="1:9" x14ac:dyDescent="0.25">
      <c r="A332" t="s">
        <v>91</v>
      </c>
      <c r="B332" t="s">
        <v>408</v>
      </c>
      <c r="C332" t="s">
        <v>409</v>
      </c>
      <c r="D332" t="s">
        <v>407</v>
      </c>
      <c r="E332" t="s">
        <v>28</v>
      </c>
      <c r="F332" t="s">
        <v>17</v>
      </c>
      <c r="G332" t="s">
        <v>14</v>
      </c>
      <c r="H332" t="s">
        <v>14</v>
      </c>
      <c r="I332" t="s">
        <v>32</v>
      </c>
    </row>
    <row r="333" spans="1:9" x14ac:dyDescent="0.25">
      <c r="A333" t="s">
        <v>91</v>
      </c>
      <c r="B333" t="s">
        <v>965</v>
      </c>
      <c r="C333" t="s">
        <v>966</v>
      </c>
      <c r="D333" t="s">
        <v>407</v>
      </c>
      <c r="E333" t="s">
        <v>28</v>
      </c>
      <c r="F333" t="s">
        <v>17</v>
      </c>
      <c r="G333" t="s">
        <v>14</v>
      </c>
      <c r="H333" t="s">
        <v>14</v>
      </c>
      <c r="I333" t="s">
        <v>32</v>
      </c>
    </row>
    <row r="334" spans="1:9" x14ac:dyDescent="0.25">
      <c r="A334" t="s">
        <v>526</v>
      </c>
      <c r="B334" t="s">
        <v>967</v>
      </c>
      <c r="C334" t="s">
        <v>968</v>
      </c>
      <c r="D334" t="s">
        <v>969</v>
      </c>
      <c r="E334" t="s">
        <v>28</v>
      </c>
      <c r="F334" t="s">
        <v>21</v>
      </c>
      <c r="G334" t="s">
        <v>14</v>
      </c>
      <c r="H334" t="s">
        <v>14</v>
      </c>
      <c r="I334" t="s">
        <v>34</v>
      </c>
    </row>
    <row r="335" spans="1:9" x14ac:dyDescent="0.25">
      <c r="A335" t="s">
        <v>526</v>
      </c>
      <c r="B335" t="s">
        <v>970</v>
      </c>
      <c r="C335" t="s">
        <v>971</v>
      </c>
      <c r="D335" t="s">
        <v>969</v>
      </c>
      <c r="E335" t="s">
        <v>28</v>
      </c>
      <c r="F335" t="s">
        <v>21</v>
      </c>
      <c r="G335" t="s">
        <v>14</v>
      </c>
      <c r="H335" t="s">
        <v>14</v>
      </c>
      <c r="I335" t="s">
        <v>34</v>
      </c>
    </row>
    <row r="336" spans="1:9" x14ac:dyDescent="0.25">
      <c r="A336" t="s">
        <v>526</v>
      </c>
      <c r="B336" t="s">
        <v>972</v>
      </c>
      <c r="C336" t="s">
        <v>973</v>
      </c>
      <c r="D336" t="s">
        <v>969</v>
      </c>
      <c r="E336" t="s">
        <v>28</v>
      </c>
      <c r="F336" t="s">
        <v>21</v>
      </c>
      <c r="G336" t="s">
        <v>14</v>
      </c>
      <c r="H336" t="s">
        <v>14</v>
      </c>
      <c r="I336" t="s">
        <v>34</v>
      </c>
    </row>
    <row r="337" spans="1:9" x14ac:dyDescent="0.25">
      <c r="A337" t="s">
        <v>516</v>
      </c>
      <c r="B337" t="s">
        <v>974</v>
      </c>
      <c r="C337" t="s">
        <v>975</v>
      </c>
      <c r="D337" t="s">
        <v>976</v>
      </c>
      <c r="E337" t="s">
        <v>28</v>
      </c>
      <c r="F337" t="s">
        <v>29</v>
      </c>
      <c r="G337" t="s">
        <v>14</v>
      </c>
      <c r="H337" t="s">
        <v>14</v>
      </c>
      <c r="I337" t="s">
        <v>977</v>
      </c>
    </row>
    <row r="338" spans="1:9" x14ac:dyDescent="0.25">
      <c r="A338" t="s">
        <v>516</v>
      </c>
      <c r="B338" t="s">
        <v>978</v>
      </c>
      <c r="C338" t="s">
        <v>979</v>
      </c>
      <c r="D338" t="s">
        <v>976</v>
      </c>
      <c r="E338" t="s">
        <v>28</v>
      </c>
      <c r="F338" t="s">
        <v>29</v>
      </c>
      <c r="G338" t="s">
        <v>14</v>
      </c>
      <c r="H338" t="s">
        <v>14</v>
      </c>
      <c r="I338" t="s">
        <v>977</v>
      </c>
    </row>
    <row r="339" spans="1:9" x14ac:dyDescent="0.25">
      <c r="A339" t="s">
        <v>516</v>
      </c>
      <c r="B339" t="s">
        <v>980</v>
      </c>
      <c r="C339" t="s">
        <v>981</v>
      </c>
      <c r="D339" t="s">
        <v>976</v>
      </c>
      <c r="E339" t="s">
        <v>28</v>
      </c>
      <c r="F339" t="s">
        <v>29</v>
      </c>
      <c r="G339" t="s">
        <v>14</v>
      </c>
      <c r="H339" t="s">
        <v>14</v>
      </c>
      <c r="I339" t="s">
        <v>977</v>
      </c>
    </row>
    <row r="340" spans="1:9" x14ac:dyDescent="0.25">
      <c r="A340" t="s">
        <v>516</v>
      </c>
      <c r="B340" t="s">
        <v>982</v>
      </c>
      <c r="C340" t="s">
        <v>983</v>
      </c>
      <c r="D340" t="s">
        <v>976</v>
      </c>
      <c r="E340" t="s">
        <v>28</v>
      </c>
      <c r="F340" t="s">
        <v>29</v>
      </c>
      <c r="G340" t="s">
        <v>14</v>
      </c>
      <c r="H340" t="s">
        <v>14</v>
      </c>
      <c r="I340" t="s">
        <v>977</v>
      </c>
    </row>
    <row r="341" spans="1:9" x14ac:dyDescent="0.25">
      <c r="A341" t="s">
        <v>83</v>
      </c>
      <c r="B341" t="s">
        <v>410</v>
      </c>
      <c r="C341" t="s">
        <v>411</v>
      </c>
      <c r="D341" t="s">
        <v>412</v>
      </c>
      <c r="E341" t="s">
        <v>20</v>
      </c>
      <c r="F341" t="s">
        <v>413</v>
      </c>
      <c r="G341" t="s">
        <v>14</v>
      </c>
      <c r="H341" t="s">
        <v>14</v>
      </c>
      <c r="I341" t="s">
        <v>27</v>
      </c>
    </row>
    <row r="342" spans="1:9" x14ac:dyDescent="0.25">
      <c r="A342" t="s">
        <v>83</v>
      </c>
      <c r="B342" t="s">
        <v>414</v>
      </c>
      <c r="C342" t="s">
        <v>415</v>
      </c>
      <c r="D342" t="s">
        <v>412</v>
      </c>
      <c r="E342" t="s">
        <v>20</v>
      </c>
      <c r="F342" t="s">
        <v>413</v>
      </c>
      <c r="G342" t="s">
        <v>14</v>
      </c>
      <c r="H342" t="s">
        <v>14</v>
      </c>
      <c r="I342" t="s">
        <v>27</v>
      </c>
    </row>
    <row r="343" spans="1:9" x14ac:dyDescent="0.25">
      <c r="A343" t="s">
        <v>83</v>
      </c>
      <c r="B343" t="s">
        <v>416</v>
      </c>
      <c r="C343" t="s">
        <v>417</v>
      </c>
      <c r="D343" t="s">
        <v>412</v>
      </c>
      <c r="E343" t="s">
        <v>20</v>
      </c>
      <c r="F343" t="s">
        <v>413</v>
      </c>
      <c r="G343" t="s">
        <v>14</v>
      </c>
      <c r="H343" t="s">
        <v>14</v>
      </c>
      <c r="I343" t="s">
        <v>27</v>
      </c>
    </row>
    <row r="344" spans="1:9" x14ac:dyDescent="0.25">
      <c r="A344" t="s">
        <v>83</v>
      </c>
      <c r="B344" t="s">
        <v>418</v>
      </c>
      <c r="C344" t="s">
        <v>419</v>
      </c>
      <c r="D344" t="s">
        <v>412</v>
      </c>
      <c r="E344" t="s">
        <v>20</v>
      </c>
      <c r="F344" t="s">
        <v>413</v>
      </c>
      <c r="G344" t="s">
        <v>14</v>
      </c>
      <c r="H344" t="s">
        <v>14</v>
      </c>
      <c r="I344" t="s">
        <v>27</v>
      </c>
    </row>
    <row r="345" spans="1:9" x14ac:dyDescent="0.25">
      <c r="A345" t="s">
        <v>84</v>
      </c>
      <c r="B345" t="s">
        <v>984</v>
      </c>
      <c r="C345" t="s">
        <v>985</v>
      </c>
      <c r="D345" t="s">
        <v>422</v>
      </c>
      <c r="E345" t="s">
        <v>20</v>
      </c>
      <c r="F345" t="s">
        <v>413</v>
      </c>
      <c r="G345" t="s">
        <v>14</v>
      </c>
      <c r="H345" t="s">
        <v>14</v>
      </c>
      <c r="I345" t="s">
        <v>16</v>
      </c>
    </row>
    <row r="346" spans="1:9" x14ac:dyDescent="0.25">
      <c r="A346" t="s">
        <v>84</v>
      </c>
      <c r="B346" t="s">
        <v>420</v>
      </c>
      <c r="C346" t="s">
        <v>421</v>
      </c>
      <c r="D346" t="s">
        <v>422</v>
      </c>
      <c r="E346" t="s">
        <v>20</v>
      </c>
      <c r="F346" t="s">
        <v>413</v>
      </c>
      <c r="G346" t="s">
        <v>14</v>
      </c>
      <c r="H346" t="s">
        <v>14</v>
      </c>
      <c r="I346" t="s">
        <v>16</v>
      </c>
    </row>
    <row r="347" spans="1:9" x14ac:dyDescent="0.25">
      <c r="A347" t="s">
        <v>84</v>
      </c>
      <c r="B347" t="s">
        <v>423</v>
      </c>
      <c r="C347" t="s">
        <v>424</v>
      </c>
      <c r="D347" t="s">
        <v>422</v>
      </c>
      <c r="E347" t="s">
        <v>20</v>
      </c>
      <c r="F347" t="s">
        <v>413</v>
      </c>
      <c r="G347" t="s">
        <v>14</v>
      </c>
      <c r="H347" t="s">
        <v>14</v>
      </c>
      <c r="I347" t="s">
        <v>16</v>
      </c>
    </row>
    <row r="348" spans="1:9" x14ac:dyDescent="0.25">
      <c r="A348" t="s">
        <v>84</v>
      </c>
      <c r="B348" t="s">
        <v>986</v>
      </c>
      <c r="C348" t="s">
        <v>987</v>
      </c>
      <c r="D348" t="s">
        <v>422</v>
      </c>
      <c r="E348" t="s">
        <v>20</v>
      </c>
      <c r="F348" t="s">
        <v>413</v>
      </c>
      <c r="G348" t="s">
        <v>14</v>
      </c>
      <c r="H348" t="s">
        <v>14</v>
      </c>
      <c r="I348" t="s">
        <v>16</v>
      </c>
    </row>
    <row r="349" spans="1:9" x14ac:dyDescent="0.25">
      <c r="A349" t="s">
        <v>85</v>
      </c>
      <c r="B349" t="s">
        <v>425</v>
      </c>
      <c r="C349" t="s">
        <v>426</v>
      </c>
      <c r="D349" t="s">
        <v>427</v>
      </c>
      <c r="E349" t="s">
        <v>20</v>
      </c>
      <c r="F349" t="s">
        <v>413</v>
      </c>
      <c r="G349" t="s">
        <v>14</v>
      </c>
      <c r="H349" t="s">
        <v>14</v>
      </c>
      <c r="I349" t="s">
        <v>34</v>
      </c>
    </row>
    <row r="350" spans="1:9" x14ac:dyDescent="0.25">
      <c r="A350" t="s">
        <v>85</v>
      </c>
      <c r="B350" t="s">
        <v>428</v>
      </c>
      <c r="C350" t="s">
        <v>429</v>
      </c>
      <c r="D350" t="s">
        <v>427</v>
      </c>
      <c r="E350" t="s">
        <v>20</v>
      </c>
      <c r="F350" t="s">
        <v>413</v>
      </c>
      <c r="G350" t="s">
        <v>14</v>
      </c>
      <c r="H350" t="s">
        <v>14</v>
      </c>
      <c r="I350" t="s">
        <v>34</v>
      </c>
    </row>
    <row r="351" spans="1:9" x14ac:dyDescent="0.25">
      <c r="A351" t="s">
        <v>85</v>
      </c>
      <c r="B351" t="s">
        <v>988</v>
      </c>
      <c r="C351" t="s">
        <v>989</v>
      </c>
      <c r="D351" t="s">
        <v>427</v>
      </c>
      <c r="E351" t="s">
        <v>20</v>
      </c>
      <c r="F351" t="s">
        <v>413</v>
      </c>
      <c r="G351" t="s">
        <v>14</v>
      </c>
      <c r="H351" t="s">
        <v>14</v>
      </c>
      <c r="I351" t="s">
        <v>34</v>
      </c>
    </row>
    <row r="352" spans="1:9" x14ac:dyDescent="0.25">
      <c r="A352" t="s">
        <v>85</v>
      </c>
      <c r="B352" t="s">
        <v>430</v>
      </c>
      <c r="C352" t="s">
        <v>431</v>
      </c>
      <c r="D352" t="s">
        <v>427</v>
      </c>
      <c r="E352" t="s">
        <v>20</v>
      </c>
      <c r="F352" t="s">
        <v>413</v>
      </c>
      <c r="G352" t="s">
        <v>14</v>
      </c>
      <c r="H352" t="s">
        <v>14</v>
      </c>
      <c r="I352" t="s">
        <v>34</v>
      </c>
    </row>
    <row r="353" spans="1:9" x14ac:dyDescent="0.25">
      <c r="A353" t="s">
        <v>86</v>
      </c>
      <c r="B353" t="s">
        <v>432</v>
      </c>
      <c r="C353" t="s">
        <v>433</v>
      </c>
      <c r="D353" t="s">
        <v>434</v>
      </c>
      <c r="E353" t="s">
        <v>20</v>
      </c>
      <c r="F353" t="s">
        <v>413</v>
      </c>
      <c r="G353" t="s">
        <v>14</v>
      </c>
      <c r="H353" t="s">
        <v>14</v>
      </c>
      <c r="I353" t="s">
        <v>32</v>
      </c>
    </row>
    <row r="354" spans="1:9" x14ac:dyDescent="0.25">
      <c r="A354" t="s">
        <v>86</v>
      </c>
      <c r="B354" t="s">
        <v>435</v>
      </c>
      <c r="C354" t="s">
        <v>436</v>
      </c>
      <c r="D354" t="s">
        <v>434</v>
      </c>
      <c r="E354" t="s">
        <v>20</v>
      </c>
      <c r="F354" t="s">
        <v>413</v>
      </c>
      <c r="G354" t="s">
        <v>14</v>
      </c>
      <c r="H354" t="s">
        <v>14</v>
      </c>
      <c r="I354" t="s">
        <v>32</v>
      </c>
    </row>
    <row r="355" spans="1:9" x14ac:dyDescent="0.25">
      <c r="A355" t="s">
        <v>86</v>
      </c>
      <c r="B355" t="s">
        <v>437</v>
      </c>
      <c r="C355" t="s">
        <v>438</v>
      </c>
      <c r="D355" t="s">
        <v>434</v>
      </c>
      <c r="E355" t="s">
        <v>20</v>
      </c>
      <c r="F355" t="s">
        <v>413</v>
      </c>
      <c r="G355" t="s">
        <v>14</v>
      </c>
      <c r="H355" t="s">
        <v>14</v>
      </c>
      <c r="I355" t="s">
        <v>32</v>
      </c>
    </row>
    <row r="356" spans="1:9" x14ac:dyDescent="0.25">
      <c r="A356" t="s">
        <v>86</v>
      </c>
      <c r="B356" t="s">
        <v>439</v>
      </c>
      <c r="C356" t="s">
        <v>440</v>
      </c>
      <c r="D356" t="s">
        <v>434</v>
      </c>
      <c r="E356" t="s">
        <v>20</v>
      </c>
      <c r="F356" t="s">
        <v>413</v>
      </c>
      <c r="G356" t="s">
        <v>14</v>
      </c>
      <c r="H356" t="s">
        <v>14</v>
      </c>
      <c r="I356" t="s">
        <v>32</v>
      </c>
    </row>
    <row r="357" spans="1:9" x14ac:dyDescent="0.25">
      <c r="A357" t="s">
        <v>87</v>
      </c>
      <c r="B357" t="s">
        <v>441</v>
      </c>
      <c r="C357" t="s">
        <v>442</v>
      </c>
      <c r="D357" t="s">
        <v>443</v>
      </c>
      <c r="E357" t="s">
        <v>20</v>
      </c>
      <c r="F357" t="s">
        <v>413</v>
      </c>
      <c r="G357" t="s">
        <v>14</v>
      </c>
      <c r="H357" t="s">
        <v>14</v>
      </c>
      <c r="I357" t="s">
        <v>25</v>
      </c>
    </row>
    <row r="358" spans="1:9" x14ac:dyDescent="0.25">
      <c r="A358" t="s">
        <v>87</v>
      </c>
      <c r="B358" t="s">
        <v>444</v>
      </c>
      <c r="C358" t="s">
        <v>445</v>
      </c>
      <c r="D358" t="s">
        <v>443</v>
      </c>
      <c r="E358" t="s">
        <v>20</v>
      </c>
      <c r="F358" t="s">
        <v>413</v>
      </c>
      <c r="G358" t="s">
        <v>14</v>
      </c>
      <c r="H358" t="s">
        <v>14</v>
      </c>
      <c r="I358" t="s">
        <v>25</v>
      </c>
    </row>
    <row r="359" spans="1:9" x14ac:dyDescent="0.25">
      <c r="A359" t="s">
        <v>87</v>
      </c>
      <c r="B359" t="s">
        <v>990</v>
      </c>
      <c r="C359" t="s">
        <v>991</v>
      </c>
      <c r="D359" t="s">
        <v>443</v>
      </c>
      <c r="E359" t="s">
        <v>20</v>
      </c>
      <c r="F359" t="s">
        <v>413</v>
      </c>
      <c r="G359" t="s">
        <v>14</v>
      </c>
      <c r="H359" t="s">
        <v>14</v>
      </c>
      <c r="I359" t="s">
        <v>25</v>
      </c>
    </row>
    <row r="360" spans="1:9" x14ac:dyDescent="0.25">
      <c r="A360" t="s">
        <v>87</v>
      </c>
      <c r="B360" t="s">
        <v>992</v>
      </c>
      <c r="C360" t="s">
        <v>993</v>
      </c>
      <c r="D360" t="s">
        <v>443</v>
      </c>
      <c r="E360" t="s">
        <v>20</v>
      </c>
      <c r="F360" t="s">
        <v>413</v>
      </c>
      <c r="G360" t="s">
        <v>14</v>
      </c>
      <c r="H360" t="s">
        <v>14</v>
      </c>
      <c r="I360" t="s">
        <v>25</v>
      </c>
    </row>
    <row r="361" spans="1:9" x14ac:dyDescent="0.25">
      <c r="A361" t="s">
        <v>88</v>
      </c>
      <c r="B361" t="s">
        <v>446</v>
      </c>
      <c r="C361" t="s">
        <v>447</v>
      </c>
      <c r="D361" t="s">
        <v>448</v>
      </c>
      <c r="E361" t="s">
        <v>20</v>
      </c>
      <c r="F361" t="s">
        <v>413</v>
      </c>
      <c r="G361" t="s">
        <v>14</v>
      </c>
      <c r="H361" t="s">
        <v>14</v>
      </c>
      <c r="I361" t="s">
        <v>24</v>
      </c>
    </row>
    <row r="362" spans="1:9" x14ac:dyDescent="0.25">
      <c r="A362" t="s">
        <v>88</v>
      </c>
      <c r="B362" t="s">
        <v>449</v>
      </c>
      <c r="C362" t="s">
        <v>450</v>
      </c>
      <c r="D362" t="s">
        <v>448</v>
      </c>
      <c r="E362" t="s">
        <v>20</v>
      </c>
      <c r="F362" t="s">
        <v>413</v>
      </c>
      <c r="G362" t="s">
        <v>14</v>
      </c>
      <c r="H362" t="s">
        <v>14</v>
      </c>
      <c r="I362" t="s">
        <v>24</v>
      </c>
    </row>
    <row r="363" spans="1:9" x14ac:dyDescent="0.25">
      <c r="A363" t="s">
        <v>88</v>
      </c>
      <c r="B363" t="s">
        <v>451</v>
      </c>
      <c r="C363" t="s">
        <v>452</v>
      </c>
      <c r="D363" t="s">
        <v>448</v>
      </c>
      <c r="E363" t="s">
        <v>20</v>
      </c>
      <c r="F363" t="s">
        <v>413</v>
      </c>
      <c r="G363" t="s">
        <v>14</v>
      </c>
      <c r="H363" t="s">
        <v>14</v>
      </c>
      <c r="I363" t="s">
        <v>24</v>
      </c>
    </row>
    <row r="364" spans="1:9" x14ac:dyDescent="0.25">
      <c r="A364" t="s">
        <v>88</v>
      </c>
      <c r="B364" t="s">
        <v>453</v>
      </c>
      <c r="C364" t="s">
        <v>454</v>
      </c>
      <c r="D364" t="s">
        <v>448</v>
      </c>
      <c r="E364" t="s">
        <v>20</v>
      </c>
      <c r="F364" t="s">
        <v>413</v>
      </c>
      <c r="G364" t="s">
        <v>14</v>
      </c>
      <c r="H364" t="s">
        <v>14</v>
      </c>
      <c r="I364" t="s">
        <v>24</v>
      </c>
    </row>
    <row r="365" spans="1:9" x14ac:dyDescent="0.25">
      <c r="A365" t="s">
        <v>89</v>
      </c>
      <c r="B365" t="s">
        <v>455</v>
      </c>
      <c r="C365" t="s">
        <v>456</v>
      </c>
      <c r="D365" t="s">
        <v>457</v>
      </c>
      <c r="E365" t="s">
        <v>20</v>
      </c>
      <c r="F365" t="s">
        <v>413</v>
      </c>
      <c r="G365" t="s">
        <v>14</v>
      </c>
      <c r="H365" t="s">
        <v>14</v>
      </c>
      <c r="I365" t="s">
        <v>26</v>
      </c>
    </row>
    <row r="366" spans="1:9" x14ac:dyDescent="0.25">
      <c r="A366" t="s">
        <v>89</v>
      </c>
      <c r="B366" t="s">
        <v>994</v>
      </c>
      <c r="C366" t="s">
        <v>995</v>
      </c>
      <c r="D366" t="s">
        <v>457</v>
      </c>
      <c r="E366" t="s">
        <v>20</v>
      </c>
      <c r="F366" t="s">
        <v>413</v>
      </c>
      <c r="G366" t="s">
        <v>14</v>
      </c>
      <c r="H366" t="s">
        <v>14</v>
      </c>
      <c r="I366" t="s">
        <v>26</v>
      </c>
    </row>
    <row r="367" spans="1:9" x14ac:dyDescent="0.25">
      <c r="A367" t="s">
        <v>89</v>
      </c>
      <c r="B367" t="s">
        <v>458</v>
      </c>
      <c r="C367" t="s">
        <v>459</v>
      </c>
      <c r="D367" t="s">
        <v>457</v>
      </c>
      <c r="E367" t="s">
        <v>20</v>
      </c>
      <c r="F367" t="s">
        <v>413</v>
      </c>
      <c r="G367" t="s">
        <v>14</v>
      </c>
      <c r="H367" t="s">
        <v>14</v>
      </c>
      <c r="I367" t="s">
        <v>26</v>
      </c>
    </row>
    <row r="368" spans="1:9" x14ac:dyDescent="0.25">
      <c r="A368" t="s">
        <v>89</v>
      </c>
      <c r="B368" t="s">
        <v>460</v>
      </c>
      <c r="C368" t="s">
        <v>461</v>
      </c>
      <c r="D368" t="s">
        <v>457</v>
      </c>
      <c r="E368" t="s">
        <v>20</v>
      </c>
      <c r="F368" t="s">
        <v>413</v>
      </c>
      <c r="G368" t="s">
        <v>14</v>
      </c>
      <c r="H368" t="s">
        <v>14</v>
      </c>
      <c r="I368" t="s">
        <v>26</v>
      </c>
    </row>
    <row r="369" spans="1:9" x14ac:dyDescent="0.25">
      <c r="A369" t="s">
        <v>515</v>
      </c>
      <c r="B369" t="s">
        <v>996</v>
      </c>
      <c r="C369" t="s">
        <v>997</v>
      </c>
      <c r="D369" t="s">
        <v>998</v>
      </c>
      <c r="E369" t="s">
        <v>20</v>
      </c>
      <c r="F369" t="s">
        <v>999</v>
      </c>
      <c r="G369" t="s">
        <v>14</v>
      </c>
      <c r="H369" t="s">
        <v>14</v>
      </c>
      <c r="I369" t="s">
        <v>1000</v>
      </c>
    </row>
    <row r="370" spans="1:9" x14ac:dyDescent="0.25">
      <c r="A370" t="s">
        <v>515</v>
      </c>
      <c r="B370" t="s">
        <v>1001</v>
      </c>
      <c r="C370" t="s">
        <v>1002</v>
      </c>
      <c r="D370" t="s">
        <v>998</v>
      </c>
      <c r="E370" t="s">
        <v>20</v>
      </c>
      <c r="F370" t="s">
        <v>999</v>
      </c>
      <c r="G370" t="s">
        <v>14</v>
      </c>
      <c r="H370" t="s">
        <v>14</v>
      </c>
      <c r="I370" t="s">
        <v>1000</v>
      </c>
    </row>
    <row r="371" spans="1:9" x14ac:dyDescent="0.25">
      <c r="A371" t="s">
        <v>515</v>
      </c>
      <c r="B371" t="s">
        <v>1003</v>
      </c>
      <c r="C371" t="s">
        <v>1004</v>
      </c>
      <c r="D371" t="s">
        <v>998</v>
      </c>
      <c r="E371" t="s">
        <v>20</v>
      </c>
      <c r="F371" t="s">
        <v>999</v>
      </c>
      <c r="G371" t="s">
        <v>14</v>
      </c>
      <c r="H371" t="s">
        <v>14</v>
      </c>
      <c r="I371" t="s">
        <v>1005</v>
      </c>
    </row>
    <row r="372" spans="1:9" x14ac:dyDescent="0.25">
      <c r="A372" t="s">
        <v>515</v>
      </c>
      <c r="B372" t="s">
        <v>1006</v>
      </c>
      <c r="C372" t="s">
        <v>1007</v>
      </c>
      <c r="D372" t="s">
        <v>998</v>
      </c>
      <c r="E372" t="s">
        <v>20</v>
      </c>
      <c r="F372" t="s">
        <v>999</v>
      </c>
      <c r="G372" t="s">
        <v>14</v>
      </c>
      <c r="H372" t="s">
        <v>14</v>
      </c>
      <c r="I372" t="s">
        <v>1005</v>
      </c>
    </row>
    <row r="373" spans="1:9" x14ac:dyDescent="0.25">
      <c r="A373" t="s">
        <v>515</v>
      </c>
      <c r="B373" t="s">
        <v>1008</v>
      </c>
      <c r="C373" t="s">
        <v>1009</v>
      </c>
      <c r="D373" t="s">
        <v>998</v>
      </c>
      <c r="E373" t="s">
        <v>20</v>
      </c>
      <c r="F373" t="s">
        <v>999</v>
      </c>
      <c r="G373" t="s">
        <v>14</v>
      </c>
      <c r="H373" t="s">
        <v>14</v>
      </c>
      <c r="I373" t="s">
        <v>1005</v>
      </c>
    </row>
    <row r="374" spans="1:9" x14ac:dyDescent="0.25">
      <c r="A374" t="s">
        <v>515</v>
      </c>
      <c r="B374" t="s">
        <v>1010</v>
      </c>
      <c r="C374" t="s">
        <v>1011</v>
      </c>
      <c r="D374" t="s">
        <v>998</v>
      </c>
      <c r="E374" t="s">
        <v>20</v>
      </c>
      <c r="F374" t="s">
        <v>999</v>
      </c>
      <c r="G374" t="s">
        <v>14</v>
      </c>
      <c r="H374" t="s">
        <v>14</v>
      </c>
      <c r="I374" t="s">
        <v>1005</v>
      </c>
    </row>
    <row r="375" spans="1:9" x14ac:dyDescent="0.25">
      <c r="A375" t="s">
        <v>515</v>
      </c>
      <c r="B375" t="s">
        <v>1012</v>
      </c>
      <c r="C375" t="s">
        <v>1013</v>
      </c>
      <c r="D375" t="s">
        <v>998</v>
      </c>
      <c r="E375" t="s">
        <v>20</v>
      </c>
      <c r="F375" t="s">
        <v>999</v>
      </c>
      <c r="G375" t="s">
        <v>14</v>
      </c>
      <c r="H375" t="s">
        <v>14</v>
      </c>
      <c r="I375" t="s">
        <v>1014</v>
      </c>
    </row>
    <row r="376" spans="1:9" x14ac:dyDescent="0.25">
      <c r="A376" t="s">
        <v>515</v>
      </c>
      <c r="B376" t="s">
        <v>1015</v>
      </c>
      <c r="C376" t="s">
        <v>1016</v>
      </c>
      <c r="D376" t="s">
        <v>998</v>
      </c>
      <c r="E376" t="s">
        <v>20</v>
      </c>
      <c r="F376" t="s">
        <v>999</v>
      </c>
      <c r="G376" t="s">
        <v>14</v>
      </c>
      <c r="H376" t="s">
        <v>14</v>
      </c>
      <c r="I376" t="s">
        <v>1017</v>
      </c>
    </row>
    <row r="377" spans="1:9" x14ac:dyDescent="0.25">
      <c r="A377" t="s">
        <v>515</v>
      </c>
      <c r="B377" t="s">
        <v>1018</v>
      </c>
      <c r="C377" t="s">
        <v>1019</v>
      </c>
      <c r="D377" t="s">
        <v>998</v>
      </c>
      <c r="E377" t="s">
        <v>20</v>
      </c>
      <c r="F377" t="s">
        <v>999</v>
      </c>
      <c r="G377" t="s">
        <v>14</v>
      </c>
      <c r="H377" t="s">
        <v>14</v>
      </c>
      <c r="I377" t="s">
        <v>1017</v>
      </c>
    </row>
    <row r="378" spans="1:9" x14ac:dyDescent="0.25">
      <c r="A378" t="s">
        <v>515</v>
      </c>
      <c r="B378" t="s">
        <v>1020</v>
      </c>
      <c r="C378" t="s">
        <v>1021</v>
      </c>
      <c r="D378" t="s">
        <v>998</v>
      </c>
      <c r="E378" t="s">
        <v>20</v>
      </c>
      <c r="F378" t="s">
        <v>999</v>
      </c>
      <c r="G378" t="s">
        <v>14</v>
      </c>
      <c r="H378" t="s">
        <v>14</v>
      </c>
      <c r="I378" t="s">
        <v>1017</v>
      </c>
    </row>
    <row r="379" spans="1:9" x14ac:dyDescent="0.25">
      <c r="A379" t="s">
        <v>65</v>
      </c>
      <c r="B379" t="s">
        <v>1022</v>
      </c>
      <c r="C379" t="s">
        <v>1023</v>
      </c>
      <c r="D379" t="s">
        <v>65</v>
      </c>
      <c r="E379" t="s">
        <v>37</v>
      </c>
      <c r="F379" t="s">
        <v>33</v>
      </c>
      <c r="G379" t="s">
        <v>14</v>
      </c>
      <c r="H379" t="s">
        <v>14</v>
      </c>
      <c r="I379" t="s">
        <v>19</v>
      </c>
    </row>
    <row r="380" spans="1:9" x14ac:dyDescent="0.25">
      <c r="A380" t="s">
        <v>65</v>
      </c>
      <c r="B380" t="s">
        <v>1024</v>
      </c>
      <c r="C380" t="s">
        <v>1025</v>
      </c>
      <c r="D380" t="s">
        <v>65</v>
      </c>
      <c r="E380" t="s">
        <v>37</v>
      </c>
      <c r="F380" t="s">
        <v>33</v>
      </c>
      <c r="G380" t="s">
        <v>14</v>
      </c>
      <c r="H380" t="s">
        <v>14</v>
      </c>
      <c r="I380" t="s">
        <v>19</v>
      </c>
    </row>
    <row r="381" spans="1:9" x14ac:dyDescent="0.25">
      <c r="A381" t="s">
        <v>65</v>
      </c>
      <c r="B381" t="s">
        <v>462</v>
      </c>
      <c r="C381" t="s">
        <v>463</v>
      </c>
      <c r="D381" t="s">
        <v>65</v>
      </c>
      <c r="E381" t="s">
        <v>37</v>
      </c>
      <c r="F381" t="s">
        <v>33</v>
      </c>
      <c r="G381" t="s">
        <v>14</v>
      </c>
      <c r="H381" t="s">
        <v>14</v>
      </c>
      <c r="I381" t="s">
        <v>19</v>
      </c>
    </row>
    <row r="382" spans="1:9" x14ac:dyDescent="0.25">
      <c r="A382" t="s">
        <v>65</v>
      </c>
      <c r="B382" t="s">
        <v>1026</v>
      </c>
      <c r="C382" t="s">
        <v>1027</v>
      </c>
      <c r="D382" t="s">
        <v>65</v>
      </c>
      <c r="E382" t="s">
        <v>37</v>
      </c>
      <c r="F382" t="s">
        <v>33</v>
      </c>
      <c r="G382" t="s">
        <v>14</v>
      </c>
      <c r="H382" t="s">
        <v>14</v>
      </c>
      <c r="I382" t="s">
        <v>19</v>
      </c>
    </row>
    <row r="383" spans="1:9" x14ac:dyDescent="0.25">
      <c r="A383" t="s">
        <v>65</v>
      </c>
      <c r="B383" t="s">
        <v>464</v>
      </c>
      <c r="C383" t="s">
        <v>465</v>
      </c>
      <c r="D383" t="s">
        <v>65</v>
      </c>
      <c r="E383" t="s">
        <v>37</v>
      </c>
      <c r="F383" t="s">
        <v>33</v>
      </c>
      <c r="G383" t="s">
        <v>14</v>
      </c>
      <c r="H383" t="s">
        <v>14</v>
      </c>
      <c r="I383" t="s">
        <v>22</v>
      </c>
    </row>
    <row r="384" spans="1:9" x14ac:dyDescent="0.25">
      <c r="A384" t="s">
        <v>65</v>
      </c>
      <c r="B384" t="s">
        <v>466</v>
      </c>
      <c r="C384" t="s">
        <v>467</v>
      </c>
      <c r="D384" t="s">
        <v>65</v>
      </c>
      <c r="E384" t="s">
        <v>37</v>
      </c>
      <c r="F384" t="s">
        <v>33</v>
      </c>
      <c r="G384" t="s">
        <v>14</v>
      </c>
      <c r="H384" t="s">
        <v>14</v>
      </c>
      <c r="I384" t="s">
        <v>22</v>
      </c>
    </row>
    <row r="385" spans="1:9" x14ac:dyDescent="0.25">
      <c r="A385" t="s">
        <v>65</v>
      </c>
      <c r="B385" t="s">
        <v>468</v>
      </c>
      <c r="C385" t="s">
        <v>469</v>
      </c>
      <c r="D385" t="s">
        <v>65</v>
      </c>
      <c r="E385" t="s">
        <v>37</v>
      </c>
      <c r="F385" t="s">
        <v>33</v>
      </c>
      <c r="G385" t="s">
        <v>14</v>
      </c>
      <c r="H385" t="s">
        <v>14</v>
      </c>
      <c r="I385" t="s">
        <v>22</v>
      </c>
    </row>
    <row r="386" spans="1:9" x14ac:dyDescent="0.25">
      <c r="A386" t="s">
        <v>65</v>
      </c>
      <c r="B386" t="s">
        <v>1028</v>
      </c>
      <c r="C386" t="s">
        <v>1029</v>
      </c>
      <c r="D386" t="s">
        <v>65</v>
      </c>
      <c r="E386" t="s">
        <v>37</v>
      </c>
      <c r="F386" t="s">
        <v>33</v>
      </c>
      <c r="G386" t="s">
        <v>14</v>
      </c>
      <c r="H386" t="s">
        <v>14</v>
      </c>
      <c r="I386" t="s">
        <v>22</v>
      </c>
    </row>
    <row r="387" spans="1:9" x14ac:dyDescent="0.25">
      <c r="A387" t="s">
        <v>65</v>
      </c>
      <c r="B387" t="s">
        <v>1030</v>
      </c>
      <c r="C387" t="s">
        <v>1031</v>
      </c>
      <c r="D387" t="s">
        <v>65</v>
      </c>
      <c r="E387" t="s">
        <v>37</v>
      </c>
      <c r="F387" t="s">
        <v>33</v>
      </c>
      <c r="G387" t="s">
        <v>14</v>
      </c>
      <c r="H387" t="s">
        <v>14</v>
      </c>
      <c r="I387" t="s">
        <v>35</v>
      </c>
    </row>
    <row r="388" spans="1:9" x14ac:dyDescent="0.25">
      <c r="A388" t="s">
        <v>65</v>
      </c>
      <c r="B388" t="s">
        <v>470</v>
      </c>
      <c r="C388" t="s">
        <v>471</v>
      </c>
      <c r="D388" t="s">
        <v>65</v>
      </c>
      <c r="E388" t="s">
        <v>37</v>
      </c>
      <c r="F388" t="s">
        <v>33</v>
      </c>
      <c r="G388" t="s">
        <v>14</v>
      </c>
      <c r="H388" t="s">
        <v>14</v>
      </c>
      <c r="I388" t="s">
        <v>35</v>
      </c>
    </row>
    <row r="389" spans="1:9" x14ac:dyDescent="0.25">
      <c r="A389" t="s">
        <v>65</v>
      </c>
      <c r="B389" t="s">
        <v>472</v>
      </c>
      <c r="C389" t="s">
        <v>473</v>
      </c>
      <c r="D389" t="s">
        <v>65</v>
      </c>
      <c r="E389" t="s">
        <v>37</v>
      </c>
      <c r="F389" t="s">
        <v>33</v>
      </c>
      <c r="G389" t="s">
        <v>14</v>
      </c>
      <c r="H389" t="s">
        <v>14</v>
      </c>
      <c r="I389" t="s">
        <v>35</v>
      </c>
    </row>
    <row r="390" spans="1:9" x14ac:dyDescent="0.25">
      <c r="A390" t="s">
        <v>65</v>
      </c>
      <c r="B390" t="s">
        <v>1032</v>
      </c>
      <c r="C390" t="s">
        <v>1033</v>
      </c>
      <c r="D390" t="s">
        <v>65</v>
      </c>
      <c r="E390" t="s">
        <v>37</v>
      </c>
      <c r="F390" t="s">
        <v>33</v>
      </c>
      <c r="G390" t="s">
        <v>14</v>
      </c>
      <c r="H390" t="s">
        <v>14</v>
      </c>
      <c r="I390" t="s">
        <v>35</v>
      </c>
    </row>
    <row r="391" spans="1:9" x14ac:dyDescent="0.25">
      <c r="A391" t="s">
        <v>65</v>
      </c>
      <c r="B391" t="s">
        <v>1034</v>
      </c>
      <c r="C391" t="s">
        <v>1035</v>
      </c>
      <c r="D391" t="s">
        <v>65</v>
      </c>
      <c r="E391" t="s">
        <v>37</v>
      </c>
      <c r="F391" t="s">
        <v>33</v>
      </c>
      <c r="G391" t="s">
        <v>14</v>
      </c>
      <c r="H391" t="s">
        <v>14</v>
      </c>
      <c r="I391" t="s">
        <v>31</v>
      </c>
    </row>
    <row r="392" spans="1:9" x14ac:dyDescent="0.25">
      <c r="A392" t="s">
        <v>65</v>
      </c>
      <c r="B392" t="s">
        <v>474</v>
      </c>
      <c r="C392" t="s">
        <v>475</v>
      </c>
      <c r="D392" t="s">
        <v>65</v>
      </c>
      <c r="E392" t="s">
        <v>37</v>
      </c>
      <c r="F392" t="s">
        <v>33</v>
      </c>
      <c r="G392" t="s">
        <v>14</v>
      </c>
      <c r="H392" t="s">
        <v>14</v>
      </c>
      <c r="I392" t="s">
        <v>31</v>
      </c>
    </row>
    <row r="393" spans="1:9" x14ac:dyDescent="0.25">
      <c r="A393" t="s">
        <v>65</v>
      </c>
      <c r="B393" t="s">
        <v>476</v>
      </c>
      <c r="C393" t="s">
        <v>477</v>
      </c>
      <c r="D393" t="s">
        <v>65</v>
      </c>
      <c r="E393" t="s">
        <v>37</v>
      </c>
      <c r="F393" t="s">
        <v>33</v>
      </c>
      <c r="G393" t="s">
        <v>14</v>
      </c>
      <c r="H393" t="s">
        <v>14</v>
      </c>
      <c r="I393" t="s">
        <v>31</v>
      </c>
    </row>
    <row r="394" spans="1:9" x14ac:dyDescent="0.25">
      <c r="A394" t="s">
        <v>65</v>
      </c>
      <c r="B394" t="s">
        <v>478</v>
      </c>
      <c r="C394" t="s">
        <v>479</v>
      </c>
      <c r="D394" t="s">
        <v>65</v>
      </c>
      <c r="E394" t="s">
        <v>37</v>
      </c>
      <c r="F394" t="s">
        <v>33</v>
      </c>
      <c r="G394" t="s">
        <v>14</v>
      </c>
      <c r="H394" t="s">
        <v>14</v>
      </c>
      <c r="I394" t="s">
        <v>31</v>
      </c>
    </row>
    <row r="395" spans="1:9" x14ac:dyDescent="0.25">
      <c r="A395" t="s">
        <v>65</v>
      </c>
      <c r="B395" t="s">
        <v>480</v>
      </c>
      <c r="C395" t="s">
        <v>481</v>
      </c>
      <c r="D395" t="s">
        <v>65</v>
      </c>
      <c r="E395" t="s">
        <v>37</v>
      </c>
      <c r="F395" t="s">
        <v>33</v>
      </c>
      <c r="G395" t="s">
        <v>14</v>
      </c>
      <c r="H395" t="s">
        <v>14</v>
      </c>
      <c r="I395" t="s">
        <v>15</v>
      </c>
    </row>
    <row r="396" spans="1:9" x14ac:dyDescent="0.25">
      <c r="A396" t="s">
        <v>65</v>
      </c>
      <c r="B396" t="s">
        <v>482</v>
      </c>
      <c r="C396" t="s">
        <v>483</v>
      </c>
      <c r="D396" t="s">
        <v>65</v>
      </c>
      <c r="E396" t="s">
        <v>37</v>
      </c>
      <c r="F396" t="s">
        <v>33</v>
      </c>
      <c r="G396" t="s">
        <v>14</v>
      </c>
      <c r="H396" t="s">
        <v>14</v>
      </c>
      <c r="I396" t="s">
        <v>15</v>
      </c>
    </row>
    <row r="397" spans="1:9" x14ac:dyDescent="0.25">
      <c r="A397" t="s">
        <v>65</v>
      </c>
      <c r="B397" t="s">
        <v>484</v>
      </c>
      <c r="C397" t="s">
        <v>485</v>
      </c>
      <c r="D397" t="s">
        <v>65</v>
      </c>
      <c r="E397" t="s">
        <v>37</v>
      </c>
      <c r="F397" t="s">
        <v>33</v>
      </c>
      <c r="G397" t="s">
        <v>14</v>
      </c>
      <c r="H397" t="s">
        <v>14</v>
      </c>
      <c r="I397" t="s">
        <v>15</v>
      </c>
    </row>
    <row r="398" spans="1:9" x14ac:dyDescent="0.25">
      <c r="A398" t="s">
        <v>65</v>
      </c>
      <c r="B398" t="s">
        <v>486</v>
      </c>
      <c r="C398" t="s">
        <v>487</v>
      </c>
      <c r="D398" t="s">
        <v>65</v>
      </c>
      <c r="E398" t="s">
        <v>37</v>
      </c>
      <c r="F398" t="s">
        <v>33</v>
      </c>
      <c r="G398" t="s">
        <v>14</v>
      </c>
      <c r="H398" t="s">
        <v>14</v>
      </c>
      <c r="I398" t="s">
        <v>15</v>
      </c>
    </row>
    <row r="399" spans="1:9" x14ac:dyDescent="0.25">
      <c r="A399" t="s">
        <v>513</v>
      </c>
      <c r="B399" t="s">
        <v>1036</v>
      </c>
      <c r="C399" t="s">
        <v>1037</v>
      </c>
      <c r="D399" t="s">
        <v>513</v>
      </c>
      <c r="E399" t="s">
        <v>37</v>
      </c>
      <c r="F399" t="s">
        <v>1038</v>
      </c>
      <c r="G399" t="s">
        <v>14</v>
      </c>
      <c r="H399" t="s">
        <v>14</v>
      </c>
      <c r="I399" t="s">
        <v>18</v>
      </c>
    </row>
    <row r="400" spans="1:9" x14ac:dyDescent="0.25">
      <c r="A400" t="s">
        <v>513</v>
      </c>
      <c r="B400" t="s">
        <v>1039</v>
      </c>
      <c r="C400" t="s">
        <v>1040</v>
      </c>
      <c r="D400" t="s">
        <v>513</v>
      </c>
      <c r="E400" t="s">
        <v>37</v>
      </c>
      <c r="F400" t="s">
        <v>1038</v>
      </c>
      <c r="G400" t="s">
        <v>14</v>
      </c>
      <c r="H400" t="s">
        <v>14</v>
      </c>
      <c r="I400" t="s">
        <v>31</v>
      </c>
    </row>
    <row r="401" spans="1:9" x14ac:dyDescent="0.25">
      <c r="A401" t="s">
        <v>513</v>
      </c>
      <c r="B401" t="s">
        <v>1041</v>
      </c>
      <c r="C401" t="s">
        <v>1042</v>
      </c>
      <c r="D401" t="s">
        <v>513</v>
      </c>
      <c r="E401" t="s">
        <v>37</v>
      </c>
      <c r="F401" t="s">
        <v>1038</v>
      </c>
      <c r="G401" t="s">
        <v>14</v>
      </c>
      <c r="H401" t="s">
        <v>14</v>
      </c>
      <c r="I401" t="s">
        <v>15</v>
      </c>
    </row>
    <row r="402" spans="1:9" x14ac:dyDescent="0.25">
      <c r="A402" t="s">
        <v>513</v>
      </c>
      <c r="B402" t="s">
        <v>1043</v>
      </c>
      <c r="C402" t="s">
        <v>1044</v>
      </c>
      <c r="D402" t="s">
        <v>513</v>
      </c>
      <c r="E402" t="s">
        <v>37</v>
      </c>
      <c r="F402" t="s">
        <v>1038</v>
      </c>
      <c r="G402" t="s">
        <v>14</v>
      </c>
      <c r="H402" t="s">
        <v>14</v>
      </c>
      <c r="I402" t="s">
        <v>15</v>
      </c>
    </row>
    <row r="403" spans="1:9" x14ac:dyDescent="0.25">
      <c r="A403" t="s">
        <v>513</v>
      </c>
      <c r="B403" t="s">
        <v>1045</v>
      </c>
      <c r="C403" t="s">
        <v>1046</v>
      </c>
      <c r="D403" t="s">
        <v>513</v>
      </c>
      <c r="E403" t="s">
        <v>37</v>
      </c>
      <c r="F403" t="s">
        <v>1038</v>
      </c>
      <c r="G403" t="s">
        <v>14</v>
      </c>
      <c r="H403" t="s">
        <v>14</v>
      </c>
      <c r="I403" t="s">
        <v>15</v>
      </c>
    </row>
    <row r="404" spans="1:9" x14ac:dyDescent="0.25">
      <c r="A404" t="s">
        <v>512</v>
      </c>
      <c r="B404" t="s">
        <v>1047</v>
      </c>
      <c r="C404" t="s">
        <v>1048</v>
      </c>
      <c r="D404" t="s">
        <v>512</v>
      </c>
      <c r="E404" t="s">
        <v>37</v>
      </c>
      <c r="F404" t="s">
        <v>1049</v>
      </c>
      <c r="G404" t="s">
        <v>14</v>
      </c>
      <c r="H404" t="s">
        <v>14</v>
      </c>
      <c r="I404" t="s">
        <v>35</v>
      </c>
    </row>
    <row r="405" spans="1:9" x14ac:dyDescent="0.25">
      <c r="A405" t="s">
        <v>512</v>
      </c>
      <c r="B405" t="s">
        <v>1050</v>
      </c>
      <c r="C405" t="s">
        <v>1051</v>
      </c>
      <c r="D405" t="s">
        <v>512</v>
      </c>
      <c r="E405" t="s">
        <v>37</v>
      </c>
      <c r="F405" t="s">
        <v>1049</v>
      </c>
      <c r="G405" t="s">
        <v>14</v>
      </c>
      <c r="H405" t="s">
        <v>14</v>
      </c>
      <c r="I405" t="s">
        <v>15</v>
      </c>
    </row>
    <row r="406" spans="1:9" x14ac:dyDescent="0.25">
      <c r="A406" t="s">
        <v>512</v>
      </c>
      <c r="B406" t="s">
        <v>1052</v>
      </c>
      <c r="C406" t="s">
        <v>1053</v>
      </c>
      <c r="D406" t="s">
        <v>512</v>
      </c>
      <c r="E406" t="s">
        <v>37</v>
      </c>
      <c r="F406" t="s">
        <v>1049</v>
      </c>
      <c r="G406" t="s">
        <v>14</v>
      </c>
      <c r="H406" t="s">
        <v>14</v>
      </c>
      <c r="I406" t="s">
        <v>15</v>
      </c>
    </row>
    <row r="407" spans="1:9" x14ac:dyDescent="0.25">
      <c r="A407" t="s">
        <v>512</v>
      </c>
      <c r="B407" t="s">
        <v>1054</v>
      </c>
      <c r="C407" t="s">
        <v>1055</v>
      </c>
      <c r="D407" t="s">
        <v>512</v>
      </c>
      <c r="E407" t="s">
        <v>37</v>
      </c>
      <c r="F407" t="s">
        <v>1049</v>
      </c>
      <c r="G407" t="s">
        <v>14</v>
      </c>
      <c r="H407" t="s">
        <v>14</v>
      </c>
      <c r="I407" t="s">
        <v>15</v>
      </c>
    </row>
    <row r="408" spans="1:9" x14ac:dyDescent="0.25">
      <c r="A408" t="s">
        <v>512</v>
      </c>
      <c r="B408" t="s">
        <v>1056</v>
      </c>
      <c r="C408" t="s">
        <v>1057</v>
      </c>
      <c r="D408" t="s">
        <v>512</v>
      </c>
      <c r="E408" t="s">
        <v>37</v>
      </c>
      <c r="F408" t="s">
        <v>1049</v>
      </c>
      <c r="G408" t="s">
        <v>14</v>
      </c>
      <c r="H408" t="s">
        <v>14</v>
      </c>
      <c r="I408" t="s">
        <v>15</v>
      </c>
    </row>
    <row r="409" spans="1:9" x14ac:dyDescent="0.25">
      <c r="A409" t="s">
        <v>511</v>
      </c>
      <c r="B409" t="s">
        <v>1058</v>
      </c>
      <c r="C409" t="s">
        <v>1059</v>
      </c>
      <c r="D409" t="s">
        <v>511</v>
      </c>
      <c r="E409" t="s">
        <v>37</v>
      </c>
      <c r="F409" t="s">
        <v>1049</v>
      </c>
      <c r="G409" t="s">
        <v>14</v>
      </c>
      <c r="H409" t="s">
        <v>14</v>
      </c>
      <c r="I409" t="s">
        <v>31</v>
      </c>
    </row>
    <row r="410" spans="1:9" x14ac:dyDescent="0.25">
      <c r="A410" t="s">
        <v>511</v>
      </c>
      <c r="B410" t="s">
        <v>1060</v>
      </c>
      <c r="C410" t="s">
        <v>1061</v>
      </c>
      <c r="D410" t="s">
        <v>511</v>
      </c>
      <c r="E410" t="s">
        <v>37</v>
      </c>
      <c r="F410" t="s">
        <v>1049</v>
      </c>
      <c r="G410" t="s">
        <v>14</v>
      </c>
      <c r="H410" t="s">
        <v>14</v>
      </c>
      <c r="I410" t="s">
        <v>31</v>
      </c>
    </row>
    <row r="411" spans="1:9" x14ac:dyDescent="0.25">
      <c r="A411" t="s">
        <v>511</v>
      </c>
      <c r="B411" t="s">
        <v>1062</v>
      </c>
      <c r="C411" t="s">
        <v>1063</v>
      </c>
      <c r="D411" t="s">
        <v>511</v>
      </c>
      <c r="E411" t="s">
        <v>37</v>
      </c>
      <c r="F411" t="s">
        <v>1049</v>
      </c>
      <c r="G411" t="s">
        <v>14</v>
      </c>
      <c r="H411" t="s">
        <v>14</v>
      </c>
      <c r="I411" t="s">
        <v>31</v>
      </c>
    </row>
    <row r="412" spans="1:9" x14ac:dyDescent="0.25">
      <c r="A412" t="s">
        <v>511</v>
      </c>
      <c r="B412" t="s">
        <v>1064</v>
      </c>
      <c r="C412" t="s">
        <v>1065</v>
      </c>
      <c r="D412" t="s">
        <v>511</v>
      </c>
      <c r="E412" t="s">
        <v>37</v>
      </c>
      <c r="F412" t="s">
        <v>1049</v>
      </c>
      <c r="G412" t="s">
        <v>14</v>
      </c>
      <c r="H412" t="s">
        <v>14</v>
      </c>
      <c r="I412" t="s">
        <v>15</v>
      </c>
    </row>
    <row r="413" spans="1:9" x14ac:dyDescent="0.25">
      <c r="A413" t="s">
        <v>511</v>
      </c>
      <c r="B413" t="s">
        <v>1066</v>
      </c>
      <c r="C413" t="s">
        <v>1067</v>
      </c>
      <c r="D413" t="s">
        <v>511</v>
      </c>
      <c r="E413" t="s">
        <v>37</v>
      </c>
      <c r="F413" t="s">
        <v>1049</v>
      </c>
      <c r="G413" t="s">
        <v>14</v>
      </c>
      <c r="H413" t="s">
        <v>14</v>
      </c>
      <c r="I413" t="s">
        <v>15</v>
      </c>
    </row>
    <row r="414" spans="1:9" x14ac:dyDescent="0.25">
      <c r="A414" t="s">
        <v>511</v>
      </c>
      <c r="B414" t="s">
        <v>1068</v>
      </c>
      <c r="C414" t="s">
        <v>1069</v>
      </c>
      <c r="D414" t="s">
        <v>511</v>
      </c>
      <c r="E414" t="s">
        <v>37</v>
      </c>
      <c r="F414" t="s">
        <v>1049</v>
      </c>
      <c r="G414" t="s">
        <v>14</v>
      </c>
      <c r="H414" t="s">
        <v>14</v>
      </c>
      <c r="I414" t="s">
        <v>15</v>
      </c>
    </row>
    <row r="415" spans="1:9" x14ac:dyDescent="0.25">
      <c r="A415" t="s">
        <v>511</v>
      </c>
      <c r="B415" t="s">
        <v>1070</v>
      </c>
      <c r="C415" t="s">
        <v>1071</v>
      </c>
      <c r="D415" t="s">
        <v>511</v>
      </c>
      <c r="E415" t="s">
        <v>37</v>
      </c>
      <c r="F415" t="s">
        <v>1049</v>
      </c>
      <c r="G415" t="s">
        <v>14</v>
      </c>
      <c r="H415" t="s">
        <v>14</v>
      </c>
      <c r="I415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R106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R56" sqref="R56"/>
    </sheetView>
  </sheetViews>
  <sheetFormatPr baseColWidth="10" defaultColWidth="8.85546875" defaultRowHeight="15" x14ac:dyDescent="0.25"/>
  <cols>
    <col min="1" max="1" width="21.42578125" style="1" customWidth="1"/>
    <col min="2" max="3" width="8.85546875" style="1"/>
    <col min="4" max="4" width="11" style="1" bestFit="1" customWidth="1"/>
    <col min="5" max="5" width="8.85546875" style="1" hidden="1" customWidth="1"/>
    <col min="6" max="6" width="12.42578125" style="2" customWidth="1"/>
    <col min="7" max="7" width="8.85546875" style="1"/>
    <col min="8" max="8" width="8.85546875" style="1" hidden="1" customWidth="1"/>
    <col min="9" max="10" width="8.85546875" style="1"/>
    <col min="11" max="11" width="11.28515625" style="1" bestFit="1" customWidth="1"/>
    <col min="12" max="13" width="8.85546875" style="1"/>
    <col min="14" max="14" width="11.28515625" style="1" bestFit="1" customWidth="1"/>
    <col min="15" max="17" width="8.85546875" style="1"/>
    <col min="18" max="18" width="11.28515625" style="1" bestFit="1" customWidth="1"/>
    <col min="19" max="21" width="8.85546875" style="1"/>
    <col min="22" max="22" width="11.28515625" style="1" bestFit="1" customWidth="1"/>
    <col min="23" max="25" width="8.85546875" style="1"/>
    <col min="26" max="26" width="11.28515625" style="1" bestFit="1" customWidth="1"/>
    <col min="27" max="16384" width="8.85546875" style="1"/>
  </cols>
  <sheetData>
    <row r="1" spans="1:18" x14ac:dyDescent="0.25">
      <c r="A1" s="10" t="s">
        <v>12</v>
      </c>
      <c r="B1" s="11"/>
      <c r="C1" s="11"/>
      <c r="D1" s="11"/>
      <c r="E1" s="11"/>
      <c r="F1" s="11"/>
      <c r="G1" s="11"/>
      <c r="H1" s="11"/>
      <c r="I1" s="11"/>
      <c r="J1" s="12"/>
      <c r="K1" s="13" t="s">
        <v>488</v>
      </c>
      <c r="L1" s="14"/>
      <c r="M1" s="14"/>
      <c r="N1" s="15"/>
      <c r="O1" s="13" t="s">
        <v>1072</v>
      </c>
      <c r="P1" s="14"/>
      <c r="Q1" s="14"/>
      <c r="R1" s="15"/>
    </row>
    <row r="2" spans="1:18" ht="15.75" thickBot="1" x14ac:dyDescent="0.3">
      <c r="A2" s="7"/>
      <c r="B2" s="8" t="s">
        <v>7</v>
      </c>
      <c r="C2" s="8" t="s">
        <v>8</v>
      </c>
      <c r="D2" s="8" t="s">
        <v>1</v>
      </c>
      <c r="E2" s="8" t="s">
        <v>2</v>
      </c>
      <c r="F2" s="16" t="s">
        <v>0</v>
      </c>
      <c r="G2" s="8" t="s">
        <v>9</v>
      </c>
      <c r="H2" s="8" t="s">
        <v>5</v>
      </c>
      <c r="I2" s="8" t="s">
        <v>10</v>
      </c>
      <c r="J2" s="9" t="s">
        <v>11</v>
      </c>
      <c r="K2" s="18" t="s">
        <v>38</v>
      </c>
      <c r="L2" s="17" t="s">
        <v>39</v>
      </c>
      <c r="M2" s="17" t="s">
        <v>40</v>
      </c>
      <c r="N2" s="19" t="s">
        <v>41</v>
      </c>
      <c r="O2" s="18" t="s">
        <v>38</v>
      </c>
      <c r="P2" s="17" t="s">
        <v>39</v>
      </c>
      <c r="Q2" s="17" t="s">
        <v>40</v>
      </c>
      <c r="R2" s="19" t="s">
        <v>41</v>
      </c>
    </row>
    <row r="3" spans="1:18" x14ac:dyDescent="0.25">
      <c r="A3" s="1" t="s">
        <v>490</v>
      </c>
      <c r="B3" s="1" t="s">
        <v>14</v>
      </c>
      <c r="C3" s="1" t="s">
        <v>14</v>
      </c>
      <c r="D3" s="1" t="s">
        <v>14</v>
      </c>
      <c r="E3" s="1" t="s">
        <v>14</v>
      </c>
      <c r="F3" s="2" t="s">
        <v>14</v>
      </c>
      <c r="G3" s="1" t="s">
        <v>14</v>
      </c>
      <c r="H3" s="1" t="s">
        <v>14</v>
      </c>
      <c r="I3" s="1" t="s">
        <v>14</v>
      </c>
      <c r="J3" s="1" t="s">
        <v>14</v>
      </c>
      <c r="K3" s="4">
        <v>0</v>
      </c>
      <c r="L3" s="3">
        <f>K3</f>
        <v>0</v>
      </c>
      <c r="M3" s="5">
        <v>0</v>
      </c>
      <c r="N3" s="6" t="e">
        <f>M3/L3</f>
        <v>#DIV/0!</v>
      </c>
      <c r="O3" s="4">
        <v>134</v>
      </c>
      <c r="P3" s="3">
        <f>O3+L3-M3</f>
        <v>134</v>
      </c>
      <c r="Q3" s="5">
        <v>37</v>
      </c>
      <c r="R3" s="6">
        <f>Q3/P3</f>
        <v>0.27611940298507465</v>
      </c>
    </row>
    <row r="4" spans="1:18" x14ac:dyDescent="0.25">
      <c r="A4" s="1" t="s">
        <v>491</v>
      </c>
      <c r="B4" s="1" t="s">
        <v>14</v>
      </c>
      <c r="C4" s="1" t="s">
        <v>14</v>
      </c>
      <c r="D4" s="1" t="s">
        <v>14</v>
      </c>
      <c r="E4" s="1" t="s">
        <v>14</v>
      </c>
      <c r="F4" s="2" t="s">
        <v>14</v>
      </c>
      <c r="G4" s="1" t="s">
        <v>14</v>
      </c>
      <c r="H4" s="1" t="s">
        <v>14</v>
      </c>
      <c r="I4" s="1" t="s">
        <v>14</v>
      </c>
      <c r="J4" s="1" t="s">
        <v>14</v>
      </c>
      <c r="K4" s="4">
        <v>0</v>
      </c>
      <c r="L4" s="3">
        <f t="shared" ref="L4:L67" si="0">K4</f>
        <v>0</v>
      </c>
      <c r="M4" s="5">
        <v>0</v>
      </c>
      <c r="N4" s="6" t="e">
        <f t="shared" ref="N4:N67" si="1">M4/L4</f>
        <v>#DIV/0!</v>
      </c>
      <c r="O4" s="4">
        <v>0</v>
      </c>
      <c r="P4" s="3">
        <f t="shared" ref="P4:P67" si="2">O4+L4-M4</f>
        <v>0</v>
      </c>
      <c r="Q4" s="5">
        <v>0</v>
      </c>
      <c r="R4" s="6" t="e">
        <f t="shared" ref="R4:R67" si="3">Q4/P4</f>
        <v>#DIV/0!</v>
      </c>
    </row>
    <row r="5" spans="1:18" x14ac:dyDescent="0.25">
      <c r="A5" s="1" t="s">
        <v>492</v>
      </c>
      <c r="B5" s="1" t="s">
        <v>14</v>
      </c>
      <c r="C5" s="1" t="s">
        <v>14</v>
      </c>
      <c r="D5" s="1" t="s">
        <v>14</v>
      </c>
      <c r="E5" s="1" t="s">
        <v>14</v>
      </c>
      <c r="F5" s="2" t="s">
        <v>14</v>
      </c>
      <c r="G5" s="1" t="s">
        <v>14</v>
      </c>
      <c r="H5" s="1" t="s">
        <v>14</v>
      </c>
      <c r="I5" s="1" t="s">
        <v>14</v>
      </c>
      <c r="J5" s="1" t="s">
        <v>14</v>
      </c>
      <c r="K5" s="4">
        <v>0</v>
      </c>
      <c r="L5" s="3">
        <f t="shared" si="0"/>
        <v>0</v>
      </c>
      <c r="M5" s="5">
        <v>0</v>
      </c>
      <c r="N5" s="6" t="e">
        <f t="shared" si="1"/>
        <v>#DIV/0!</v>
      </c>
      <c r="O5" s="4">
        <v>150</v>
      </c>
      <c r="P5" s="3">
        <f t="shared" si="2"/>
        <v>150</v>
      </c>
      <c r="Q5" s="5">
        <v>43</v>
      </c>
      <c r="R5" s="6">
        <f t="shared" si="3"/>
        <v>0.28666666666666668</v>
      </c>
    </row>
    <row r="6" spans="1:18" x14ac:dyDescent="0.25">
      <c r="A6" s="1" t="s">
        <v>493</v>
      </c>
      <c r="B6" s="1" t="s">
        <v>14</v>
      </c>
      <c r="C6" s="1" t="s">
        <v>14</v>
      </c>
      <c r="D6" s="1" t="s">
        <v>14</v>
      </c>
      <c r="E6" s="1" t="s">
        <v>14</v>
      </c>
      <c r="F6" s="2" t="s">
        <v>14</v>
      </c>
      <c r="G6" s="1" t="s">
        <v>14</v>
      </c>
      <c r="H6" s="1" t="s">
        <v>14</v>
      </c>
      <c r="I6" s="1" t="s">
        <v>14</v>
      </c>
      <c r="J6" s="1" t="s">
        <v>14</v>
      </c>
      <c r="K6" s="4">
        <v>0</v>
      </c>
      <c r="L6" s="3">
        <f t="shared" si="0"/>
        <v>0</v>
      </c>
      <c r="M6" s="5">
        <v>0</v>
      </c>
      <c r="N6" s="6" t="e">
        <f t="shared" si="1"/>
        <v>#DIV/0!</v>
      </c>
      <c r="O6" s="4">
        <v>0</v>
      </c>
      <c r="P6" s="3">
        <f t="shared" si="2"/>
        <v>0</v>
      </c>
      <c r="Q6" s="5">
        <v>0</v>
      </c>
      <c r="R6" s="6" t="e">
        <f t="shared" si="3"/>
        <v>#DIV/0!</v>
      </c>
    </row>
    <row r="7" spans="1:18" x14ac:dyDescent="0.25">
      <c r="A7" s="1" t="s">
        <v>494</v>
      </c>
      <c r="B7" s="1" t="s">
        <v>14</v>
      </c>
      <c r="C7" s="1" t="s">
        <v>14</v>
      </c>
      <c r="D7" s="1" t="s">
        <v>14</v>
      </c>
      <c r="E7" s="1" t="s">
        <v>14</v>
      </c>
      <c r="F7" s="2" t="s">
        <v>14</v>
      </c>
      <c r="G7" s="1" t="s">
        <v>14</v>
      </c>
      <c r="H7" s="1" t="s">
        <v>14</v>
      </c>
      <c r="I7" s="1" t="s">
        <v>14</v>
      </c>
      <c r="J7" s="1" t="s">
        <v>14</v>
      </c>
      <c r="K7" s="4">
        <v>0</v>
      </c>
      <c r="L7" s="3">
        <f t="shared" si="0"/>
        <v>0</v>
      </c>
      <c r="M7" s="5">
        <v>0</v>
      </c>
      <c r="N7" s="6" t="e">
        <f t="shared" si="1"/>
        <v>#DIV/0!</v>
      </c>
      <c r="O7" s="4">
        <v>119</v>
      </c>
      <c r="P7" s="3">
        <f t="shared" si="2"/>
        <v>119</v>
      </c>
      <c r="Q7" s="5">
        <v>27</v>
      </c>
      <c r="R7" s="6">
        <f t="shared" si="3"/>
        <v>0.22689075630252101</v>
      </c>
    </row>
    <row r="8" spans="1:18" x14ac:dyDescent="0.25">
      <c r="A8" s="1" t="s">
        <v>495</v>
      </c>
      <c r="B8" s="1" t="s">
        <v>14</v>
      </c>
      <c r="C8" s="1" t="s">
        <v>14</v>
      </c>
      <c r="D8" s="1" t="s">
        <v>14</v>
      </c>
      <c r="E8" s="1" t="s">
        <v>14</v>
      </c>
      <c r="F8" s="2" t="s">
        <v>14</v>
      </c>
      <c r="G8" s="1" t="s">
        <v>14</v>
      </c>
      <c r="H8" s="1" t="s">
        <v>14</v>
      </c>
      <c r="I8" s="1" t="s">
        <v>14</v>
      </c>
      <c r="J8" s="1" t="s">
        <v>14</v>
      </c>
      <c r="K8" s="4">
        <v>0</v>
      </c>
      <c r="L8" s="3">
        <f t="shared" si="0"/>
        <v>0</v>
      </c>
      <c r="M8" s="5">
        <v>0</v>
      </c>
      <c r="N8" s="6" t="e">
        <f t="shared" si="1"/>
        <v>#DIV/0!</v>
      </c>
      <c r="O8" s="4">
        <v>148</v>
      </c>
      <c r="P8" s="3">
        <f t="shared" si="2"/>
        <v>148</v>
      </c>
      <c r="Q8" s="5">
        <v>37</v>
      </c>
      <c r="R8" s="6">
        <f t="shared" si="3"/>
        <v>0.25</v>
      </c>
    </row>
    <row r="9" spans="1:18" x14ac:dyDescent="0.25">
      <c r="A9" s="1" t="s">
        <v>42</v>
      </c>
      <c r="B9" s="1" t="s">
        <v>14</v>
      </c>
      <c r="C9" s="1" t="s">
        <v>14</v>
      </c>
      <c r="D9" s="1" t="s">
        <v>14</v>
      </c>
      <c r="E9" s="1" t="s">
        <v>14</v>
      </c>
      <c r="F9" s="2" t="s">
        <v>14</v>
      </c>
      <c r="G9" s="1" t="s">
        <v>14</v>
      </c>
      <c r="H9" s="1" t="s">
        <v>14</v>
      </c>
      <c r="I9" s="1" t="s">
        <v>14</v>
      </c>
      <c r="J9" s="1" t="s">
        <v>14</v>
      </c>
      <c r="K9" s="4">
        <v>149</v>
      </c>
      <c r="L9" s="3">
        <f t="shared" si="0"/>
        <v>149</v>
      </c>
      <c r="M9" s="5">
        <v>1</v>
      </c>
      <c r="N9" s="6">
        <f t="shared" si="1"/>
        <v>6.7114093959731542E-3</v>
      </c>
      <c r="O9" s="4">
        <v>0</v>
      </c>
      <c r="P9" s="3">
        <f t="shared" si="2"/>
        <v>148</v>
      </c>
      <c r="Q9" s="5">
        <v>40</v>
      </c>
      <c r="R9" s="6">
        <f t="shared" si="3"/>
        <v>0.27027027027027029</v>
      </c>
    </row>
    <row r="10" spans="1:18" x14ac:dyDescent="0.25">
      <c r="A10" s="1" t="s">
        <v>496</v>
      </c>
      <c r="B10" s="1" t="s">
        <v>14</v>
      </c>
      <c r="C10" s="1" t="s">
        <v>14</v>
      </c>
      <c r="D10" s="1" t="s">
        <v>14</v>
      </c>
      <c r="E10" s="1" t="s">
        <v>14</v>
      </c>
      <c r="F10" s="2" t="s">
        <v>14</v>
      </c>
      <c r="G10" s="1" t="s">
        <v>14</v>
      </c>
      <c r="H10" s="1" t="s">
        <v>14</v>
      </c>
      <c r="I10" s="1" t="s">
        <v>14</v>
      </c>
      <c r="J10" s="1" t="s">
        <v>14</v>
      </c>
      <c r="K10" s="4">
        <v>0</v>
      </c>
      <c r="L10" s="3">
        <f t="shared" si="0"/>
        <v>0</v>
      </c>
      <c r="M10" s="5">
        <v>0</v>
      </c>
      <c r="N10" s="6" t="e">
        <f t="shared" si="1"/>
        <v>#DIV/0!</v>
      </c>
      <c r="O10" s="4">
        <v>150</v>
      </c>
      <c r="P10" s="3">
        <f t="shared" si="2"/>
        <v>150</v>
      </c>
      <c r="Q10" s="5">
        <v>40</v>
      </c>
      <c r="R10" s="6">
        <f t="shared" si="3"/>
        <v>0.26666666666666666</v>
      </c>
    </row>
    <row r="11" spans="1:18" x14ac:dyDescent="0.25">
      <c r="A11" s="1" t="s">
        <v>497</v>
      </c>
      <c r="B11" s="1" t="s">
        <v>14</v>
      </c>
      <c r="C11" s="1" t="s">
        <v>14</v>
      </c>
      <c r="D11" s="1" t="s">
        <v>14</v>
      </c>
      <c r="E11" s="1" t="s">
        <v>14</v>
      </c>
      <c r="F11" s="2" t="s">
        <v>14</v>
      </c>
      <c r="G11" s="1" t="s">
        <v>14</v>
      </c>
      <c r="H11" s="1" t="s">
        <v>14</v>
      </c>
      <c r="I11" s="1" t="s">
        <v>14</v>
      </c>
      <c r="J11" s="1" t="s">
        <v>14</v>
      </c>
      <c r="K11" s="4">
        <v>0</v>
      </c>
      <c r="L11" s="3">
        <f t="shared" si="0"/>
        <v>0</v>
      </c>
      <c r="M11" s="5">
        <v>0</v>
      </c>
      <c r="N11" s="6" t="e">
        <f t="shared" si="1"/>
        <v>#DIV/0!</v>
      </c>
      <c r="O11" s="4">
        <v>144</v>
      </c>
      <c r="P11" s="3">
        <f t="shared" si="2"/>
        <v>144</v>
      </c>
      <c r="Q11" s="5">
        <v>24</v>
      </c>
      <c r="R11" s="6">
        <f t="shared" si="3"/>
        <v>0.16666666666666666</v>
      </c>
    </row>
    <row r="12" spans="1:18" x14ac:dyDescent="0.25">
      <c r="A12" s="1" t="s">
        <v>498</v>
      </c>
      <c r="B12" s="1" t="s">
        <v>14</v>
      </c>
      <c r="C12" s="1" t="s">
        <v>14</v>
      </c>
      <c r="D12" s="1" t="s">
        <v>14</v>
      </c>
      <c r="E12" s="1" t="s">
        <v>14</v>
      </c>
      <c r="F12" s="2" t="s">
        <v>14</v>
      </c>
      <c r="G12" s="1" t="s">
        <v>14</v>
      </c>
      <c r="H12" s="1" t="s">
        <v>14</v>
      </c>
      <c r="I12" s="1" t="s">
        <v>14</v>
      </c>
      <c r="J12" s="1" t="s">
        <v>14</v>
      </c>
      <c r="K12" s="4">
        <v>0</v>
      </c>
      <c r="L12" s="3">
        <f t="shared" si="0"/>
        <v>0</v>
      </c>
      <c r="M12" s="5">
        <v>0</v>
      </c>
      <c r="N12" s="6" t="e">
        <f t="shared" si="1"/>
        <v>#DIV/0!</v>
      </c>
      <c r="O12" s="4">
        <v>140</v>
      </c>
      <c r="P12" s="3">
        <f t="shared" si="2"/>
        <v>140</v>
      </c>
      <c r="Q12" s="5">
        <v>27</v>
      </c>
      <c r="R12" s="6">
        <f t="shared" si="3"/>
        <v>0.19285714285714287</v>
      </c>
    </row>
    <row r="13" spans="1:18" x14ac:dyDescent="0.25">
      <c r="A13" s="1" t="s">
        <v>499</v>
      </c>
      <c r="B13" s="1" t="s">
        <v>14</v>
      </c>
      <c r="C13" s="1" t="s">
        <v>14</v>
      </c>
      <c r="D13" s="1" t="s">
        <v>14</v>
      </c>
      <c r="E13" s="1" t="s">
        <v>14</v>
      </c>
      <c r="F13" s="2" t="s">
        <v>14</v>
      </c>
      <c r="G13" s="1" t="s">
        <v>14</v>
      </c>
      <c r="H13" s="1" t="s">
        <v>14</v>
      </c>
      <c r="I13" s="1" t="s">
        <v>14</v>
      </c>
      <c r="J13" s="1" t="s">
        <v>14</v>
      </c>
      <c r="K13" s="4">
        <v>0</v>
      </c>
      <c r="L13" s="3">
        <f t="shared" si="0"/>
        <v>0</v>
      </c>
      <c r="M13" s="5">
        <v>0</v>
      </c>
      <c r="N13" s="6" t="e">
        <f t="shared" si="1"/>
        <v>#DIV/0!</v>
      </c>
      <c r="O13" s="4">
        <v>71</v>
      </c>
      <c r="P13" s="3">
        <f t="shared" si="2"/>
        <v>71</v>
      </c>
      <c r="Q13" s="5">
        <v>9</v>
      </c>
      <c r="R13" s="6">
        <f t="shared" si="3"/>
        <v>0.12676056338028169</v>
      </c>
    </row>
    <row r="14" spans="1:18" x14ac:dyDescent="0.25">
      <c r="A14" s="1" t="s">
        <v>43</v>
      </c>
      <c r="B14" s="1" t="s">
        <v>14</v>
      </c>
      <c r="C14" s="1" t="s">
        <v>14</v>
      </c>
      <c r="D14" s="1" t="s">
        <v>14</v>
      </c>
      <c r="E14" s="1" t="s">
        <v>14</v>
      </c>
      <c r="F14" s="2" t="s">
        <v>14</v>
      </c>
      <c r="G14" s="1" t="s">
        <v>14</v>
      </c>
      <c r="H14" s="1" t="s">
        <v>14</v>
      </c>
      <c r="I14" s="1" t="s">
        <v>14</v>
      </c>
      <c r="J14" s="1" t="s">
        <v>14</v>
      </c>
      <c r="K14" s="4">
        <v>198</v>
      </c>
      <c r="L14" s="3">
        <f t="shared" si="0"/>
        <v>198</v>
      </c>
      <c r="M14" s="5">
        <v>8</v>
      </c>
      <c r="N14" s="6">
        <f t="shared" si="1"/>
        <v>4.0404040404040407E-2</v>
      </c>
      <c r="O14" s="4">
        <v>0</v>
      </c>
      <c r="P14" s="3">
        <f t="shared" si="2"/>
        <v>190</v>
      </c>
      <c r="Q14" s="5">
        <v>40</v>
      </c>
      <c r="R14" s="6">
        <f t="shared" si="3"/>
        <v>0.21052631578947367</v>
      </c>
    </row>
    <row r="15" spans="1:18" x14ac:dyDescent="0.25">
      <c r="A15" s="1" t="s">
        <v>44</v>
      </c>
      <c r="B15" s="1" t="s">
        <v>14</v>
      </c>
      <c r="C15" s="1" t="s">
        <v>14</v>
      </c>
      <c r="D15" s="1" t="s">
        <v>14</v>
      </c>
      <c r="E15" s="1" t="s">
        <v>14</v>
      </c>
      <c r="F15" s="2" t="s">
        <v>14</v>
      </c>
      <c r="G15" s="1" t="s">
        <v>14</v>
      </c>
      <c r="H15" s="1" t="s">
        <v>14</v>
      </c>
      <c r="I15" s="1" t="s">
        <v>14</v>
      </c>
      <c r="J15" s="1" t="s">
        <v>14</v>
      </c>
      <c r="K15" s="4">
        <v>81</v>
      </c>
      <c r="L15" s="3">
        <f t="shared" si="0"/>
        <v>81</v>
      </c>
      <c r="M15" s="5">
        <v>7</v>
      </c>
      <c r="N15" s="6">
        <f t="shared" si="1"/>
        <v>8.6419753086419748E-2</v>
      </c>
      <c r="O15" s="4">
        <v>0</v>
      </c>
      <c r="P15" s="3">
        <f t="shared" si="2"/>
        <v>74</v>
      </c>
      <c r="Q15" s="5">
        <v>20</v>
      </c>
      <c r="R15" s="6">
        <f t="shared" si="3"/>
        <v>0.27027027027027029</v>
      </c>
    </row>
    <row r="16" spans="1:18" x14ac:dyDescent="0.25">
      <c r="A16" s="1" t="s">
        <v>45</v>
      </c>
      <c r="B16" s="1" t="s">
        <v>14</v>
      </c>
      <c r="C16" s="1" t="s">
        <v>14</v>
      </c>
      <c r="D16" s="1" t="s">
        <v>14</v>
      </c>
      <c r="E16" s="1" t="s">
        <v>14</v>
      </c>
      <c r="F16" s="2" t="s">
        <v>14</v>
      </c>
      <c r="G16" s="1" t="s">
        <v>14</v>
      </c>
      <c r="H16" s="1" t="s">
        <v>14</v>
      </c>
      <c r="I16" s="1" t="s">
        <v>14</v>
      </c>
      <c r="J16" s="1" t="s">
        <v>14</v>
      </c>
      <c r="K16" s="4">
        <v>199</v>
      </c>
      <c r="L16" s="3">
        <f t="shared" si="0"/>
        <v>199</v>
      </c>
      <c r="M16" s="5">
        <v>7</v>
      </c>
      <c r="N16" s="6">
        <f t="shared" si="1"/>
        <v>3.5175879396984924E-2</v>
      </c>
      <c r="O16" s="4">
        <v>0</v>
      </c>
      <c r="P16" s="3">
        <f t="shared" si="2"/>
        <v>192</v>
      </c>
      <c r="Q16" s="5">
        <v>32</v>
      </c>
      <c r="R16" s="6">
        <f t="shared" si="3"/>
        <v>0.16666666666666666</v>
      </c>
    </row>
    <row r="17" spans="1:18" x14ac:dyDescent="0.25">
      <c r="A17" s="1" t="s">
        <v>46</v>
      </c>
      <c r="B17" s="1" t="s">
        <v>14</v>
      </c>
      <c r="C17" s="1" t="s">
        <v>14</v>
      </c>
      <c r="D17" s="1" t="s">
        <v>14</v>
      </c>
      <c r="E17" s="1" t="s">
        <v>14</v>
      </c>
      <c r="F17" s="2" t="s">
        <v>14</v>
      </c>
      <c r="G17" s="1" t="s">
        <v>14</v>
      </c>
      <c r="H17" s="1" t="s">
        <v>14</v>
      </c>
      <c r="I17" s="1" t="s">
        <v>14</v>
      </c>
      <c r="J17" s="1" t="s">
        <v>14</v>
      </c>
      <c r="K17" s="4">
        <v>308</v>
      </c>
      <c r="L17" s="3">
        <f t="shared" si="0"/>
        <v>308</v>
      </c>
      <c r="M17" s="5">
        <v>3</v>
      </c>
      <c r="N17" s="6">
        <f t="shared" si="1"/>
        <v>9.74025974025974E-3</v>
      </c>
      <c r="O17" s="4">
        <v>0</v>
      </c>
      <c r="P17" s="3">
        <f t="shared" si="2"/>
        <v>305</v>
      </c>
      <c r="Q17" s="5">
        <v>18</v>
      </c>
      <c r="R17" s="6">
        <f t="shared" si="3"/>
        <v>5.9016393442622953E-2</v>
      </c>
    </row>
    <row r="18" spans="1:18" x14ac:dyDescent="0.25">
      <c r="A18" s="1" t="s">
        <v>47</v>
      </c>
      <c r="B18" s="1" t="s">
        <v>14</v>
      </c>
      <c r="C18" s="1" t="s">
        <v>14</v>
      </c>
      <c r="D18" s="1" t="s">
        <v>14</v>
      </c>
      <c r="E18" s="1" t="s">
        <v>14</v>
      </c>
      <c r="F18" s="2" t="s">
        <v>14</v>
      </c>
      <c r="G18" s="1" t="s">
        <v>14</v>
      </c>
      <c r="H18" s="1" t="s">
        <v>14</v>
      </c>
      <c r="I18" s="1" t="s">
        <v>14</v>
      </c>
      <c r="J18" s="1" t="s">
        <v>14</v>
      </c>
      <c r="K18" s="4">
        <v>125</v>
      </c>
      <c r="L18" s="3">
        <f t="shared" si="0"/>
        <v>125</v>
      </c>
      <c r="M18" s="5">
        <v>1</v>
      </c>
      <c r="N18" s="6">
        <f t="shared" si="1"/>
        <v>8.0000000000000002E-3</v>
      </c>
      <c r="O18" s="4">
        <v>0</v>
      </c>
      <c r="P18" s="3">
        <f t="shared" si="2"/>
        <v>124</v>
      </c>
      <c r="Q18" s="5">
        <v>12</v>
      </c>
      <c r="R18" s="6">
        <f t="shared" si="3"/>
        <v>9.6774193548387094E-2</v>
      </c>
    </row>
    <row r="19" spans="1:18" x14ac:dyDescent="0.25">
      <c r="A19" s="1" t="s">
        <v>500</v>
      </c>
      <c r="B19" s="1" t="s">
        <v>14</v>
      </c>
      <c r="C19" s="1" t="s">
        <v>14</v>
      </c>
      <c r="D19" s="1" t="s">
        <v>14</v>
      </c>
      <c r="E19" s="1" t="s">
        <v>14</v>
      </c>
      <c r="F19" s="2" t="s">
        <v>14</v>
      </c>
      <c r="G19" s="1" t="s">
        <v>14</v>
      </c>
      <c r="H19" s="1" t="s">
        <v>14</v>
      </c>
      <c r="I19" s="1" t="s">
        <v>14</v>
      </c>
      <c r="J19" s="1" t="s">
        <v>14</v>
      </c>
      <c r="K19" s="4">
        <v>0</v>
      </c>
      <c r="L19" s="3">
        <f t="shared" si="0"/>
        <v>0</v>
      </c>
      <c r="M19" s="5">
        <v>0</v>
      </c>
      <c r="N19" s="6" t="e">
        <f t="shared" si="1"/>
        <v>#DIV/0!</v>
      </c>
      <c r="O19" s="4">
        <v>0</v>
      </c>
      <c r="P19" s="3">
        <f t="shared" si="2"/>
        <v>0</v>
      </c>
      <c r="Q19" s="5">
        <v>4</v>
      </c>
      <c r="R19" s="6" t="e">
        <f t="shared" si="3"/>
        <v>#DIV/0!</v>
      </c>
    </row>
    <row r="20" spans="1:18" x14ac:dyDescent="0.25">
      <c r="A20" s="1" t="s">
        <v>323</v>
      </c>
      <c r="B20" s="1" t="s">
        <v>14</v>
      </c>
      <c r="C20" s="1" t="s">
        <v>14</v>
      </c>
      <c r="D20" s="1" t="s">
        <v>14</v>
      </c>
      <c r="E20" s="1" t="s">
        <v>14</v>
      </c>
      <c r="F20" s="2" t="s">
        <v>14</v>
      </c>
      <c r="G20" s="1" t="s">
        <v>14</v>
      </c>
      <c r="H20" s="1" t="s">
        <v>14</v>
      </c>
      <c r="I20" s="1" t="s">
        <v>14</v>
      </c>
      <c r="J20" s="1" t="s">
        <v>14</v>
      </c>
      <c r="K20" s="4">
        <v>0</v>
      </c>
      <c r="L20" s="3">
        <f t="shared" si="0"/>
        <v>0</v>
      </c>
      <c r="M20" s="5">
        <v>0</v>
      </c>
      <c r="N20" s="6" t="e">
        <f t="shared" si="1"/>
        <v>#DIV/0!</v>
      </c>
      <c r="O20" s="4">
        <v>0</v>
      </c>
      <c r="P20" s="3">
        <f t="shared" si="2"/>
        <v>0</v>
      </c>
      <c r="Q20" s="5">
        <v>0</v>
      </c>
      <c r="R20" s="6" t="e">
        <f t="shared" si="3"/>
        <v>#DIV/0!</v>
      </c>
    </row>
    <row r="21" spans="1:18" x14ac:dyDescent="0.25">
      <c r="A21" s="1" t="s">
        <v>48</v>
      </c>
      <c r="B21" s="1" t="s">
        <v>14</v>
      </c>
      <c r="C21" s="1" t="s">
        <v>14</v>
      </c>
      <c r="D21" s="1" t="s">
        <v>14</v>
      </c>
      <c r="E21" s="1" t="s">
        <v>14</v>
      </c>
      <c r="F21" s="2" t="s">
        <v>14</v>
      </c>
      <c r="G21" s="1" t="s">
        <v>14</v>
      </c>
      <c r="H21" s="1" t="s">
        <v>14</v>
      </c>
      <c r="I21" s="1" t="s">
        <v>14</v>
      </c>
      <c r="J21" s="1" t="s">
        <v>14</v>
      </c>
      <c r="K21" s="4">
        <v>163</v>
      </c>
      <c r="L21" s="3">
        <f t="shared" si="0"/>
        <v>163</v>
      </c>
      <c r="M21" s="5">
        <v>12</v>
      </c>
      <c r="N21" s="6">
        <f t="shared" si="1"/>
        <v>7.3619631901840496E-2</v>
      </c>
      <c r="O21" s="4">
        <v>0</v>
      </c>
      <c r="P21" s="3">
        <f t="shared" si="2"/>
        <v>151</v>
      </c>
      <c r="Q21" s="5">
        <v>56</v>
      </c>
      <c r="R21" s="6">
        <f t="shared" si="3"/>
        <v>0.37086092715231789</v>
      </c>
    </row>
    <row r="22" spans="1:18" x14ac:dyDescent="0.25">
      <c r="A22" s="1" t="s">
        <v>49</v>
      </c>
      <c r="B22" s="1" t="s">
        <v>14</v>
      </c>
      <c r="C22" s="1" t="s">
        <v>14</v>
      </c>
      <c r="D22" s="1" t="s">
        <v>14</v>
      </c>
      <c r="E22" s="1" t="s">
        <v>14</v>
      </c>
      <c r="F22" s="2" t="s">
        <v>14</v>
      </c>
      <c r="G22" s="1" t="s">
        <v>14</v>
      </c>
      <c r="H22" s="1" t="s">
        <v>14</v>
      </c>
      <c r="I22" s="1" t="s">
        <v>14</v>
      </c>
      <c r="J22" s="1" t="s">
        <v>14</v>
      </c>
      <c r="K22" s="4">
        <v>163</v>
      </c>
      <c r="L22" s="3">
        <f t="shared" si="0"/>
        <v>163</v>
      </c>
      <c r="M22" s="5">
        <v>8</v>
      </c>
      <c r="N22" s="6">
        <f t="shared" si="1"/>
        <v>4.9079754601226995E-2</v>
      </c>
      <c r="O22" s="4">
        <v>0</v>
      </c>
      <c r="P22" s="3">
        <f t="shared" si="2"/>
        <v>155</v>
      </c>
      <c r="Q22" s="5">
        <v>27</v>
      </c>
      <c r="R22" s="6">
        <f t="shared" si="3"/>
        <v>0.17419354838709677</v>
      </c>
    </row>
    <row r="23" spans="1:18" x14ac:dyDescent="0.25">
      <c r="A23" s="1" t="s">
        <v>50</v>
      </c>
      <c r="B23" s="1" t="s">
        <v>14</v>
      </c>
      <c r="C23" s="1" t="s">
        <v>14</v>
      </c>
      <c r="D23" s="1" t="s">
        <v>14</v>
      </c>
      <c r="E23" s="1" t="s">
        <v>14</v>
      </c>
      <c r="F23" s="2" t="s">
        <v>14</v>
      </c>
      <c r="G23" s="1" t="s">
        <v>14</v>
      </c>
      <c r="H23" s="1" t="s">
        <v>14</v>
      </c>
      <c r="I23" s="1" t="s">
        <v>14</v>
      </c>
      <c r="J23" s="1" t="s">
        <v>14</v>
      </c>
      <c r="K23" s="4">
        <v>159</v>
      </c>
      <c r="L23" s="3">
        <f t="shared" si="0"/>
        <v>159</v>
      </c>
      <c r="M23" s="5">
        <v>9</v>
      </c>
      <c r="N23" s="6">
        <f t="shared" si="1"/>
        <v>5.6603773584905662E-2</v>
      </c>
      <c r="O23" s="4">
        <v>0</v>
      </c>
      <c r="P23" s="3">
        <f t="shared" si="2"/>
        <v>150</v>
      </c>
      <c r="Q23" s="5">
        <v>28</v>
      </c>
      <c r="R23" s="6">
        <f t="shared" si="3"/>
        <v>0.18666666666666668</v>
      </c>
    </row>
    <row r="24" spans="1:18" x14ac:dyDescent="0.25">
      <c r="A24" s="1" t="s">
        <v>350</v>
      </c>
      <c r="B24" s="1" t="s">
        <v>14</v>
      </c>
      <c r="C24" s="1" t="s">
        <v>14</v>
      </c>
      <c r="D24" s="1" t="s">
        <v>14</v>
      </c>
      <c r="E24" s="1" t="s">
        <v>14</v>
      </c>
      <c r="F24" s="2" t="s">
        <v>14</v>
      </c>
      <c r="G24" s="1" t="s">
        <v>14</v>
      </c>
      <c r="H24" s="1" t="s">
        <v>14</v>
      </c>
      <c r="I24" s="1" t="s">
        <v>14</v>
      </c>
      <c r="J24" s="1" t="s">
        <v>14</v>
      </c>
      <c r="K24" s="4">
        <v>0</v>
      </c>
      <c r="L24" s="3">
        <f t="shared" si="0"/>
        <v>0</v>
      </c>
      <c r="M24" s="5">
        <v>0</v>
      </c>
      <c r="N24" s="6" t="e">
        <f t="shared" si="1"/>
        <v>#DIV/0!</v>
      </c>
      <c r="O24" s="4">
        <v>0</v>
      </c>
      <c r="P24" s="3">
        <f t="shared" si="2"/>
        <v>0</v>
      </c>
      <c r="Q24" s="5">
        <v>0</v>
      </c>
      <c r="R24" s="6" t="e">
        <f t="shared" si="3"/>
        <v>#DIV/0!</v>
      </c>
    </row>
    <row r="25" spans="1:18" x14ac:dyDescent="0.25">
      <c r="A25" s="1" t="s">
        <v>51</v>
      </c>
      <c r="B25" s="1" t="s">
        <v>14</v>
      </c>
      <c r="C25" s="1" t="s">
        <v>14</v>
      </c>
      <c r="D25" s="1" t="s">
        <v>14</v>
      </c>
      <c r="E25" s="1" t="s">
        <v>14</v>
      </c>
      <c r="F25" s="2" t="s">
        <v>14</v>
      </c>
      <c r="G25" s="1" t="s">
        <v>14</v>
      </c>
      <c r="H25" s="1" t="s">
        <v>14</v>
      </c>
      <c r="I25" s="1" t="s">
        <v>14</v>
      </c>
      <c r="J25" s="1" t="s">
        <v>14</v>
      </c>
      <c r="K25" s="4">
        <v>163</v>
      </c>
      <c r="L25" s="3">
        <f t="shared" si="0"/>
        <v>163</v>
      </c>
      <c r="M25" s="5">
        <v>7</v>
      </c>
      <c r="N25" s="6">
        <f t="shared" si="1"/>
        <v>4.2944785276073622E-2</v>
      </c>
      <c r="O25" s="4">
        <v>0</v>
      </c>
      <c r="P25" s="3">
        <f t="shared" si="2"/>
        <v>156</v>
      </c>
      <c r="Q25" s="5">
        <v>34</v>
      </c>
      <c r="R25" s="6">
        <f t="shared" si="3"/>
        <v>0.21794871794871795</v>
      </c>
    </row>
    <row r="26" spans="1:18" x14ac:dyDescent="0.25">
      <c r="A26" s="1" t="s">
        <v>52</v>
      </c>
      <c r="B26" s="1" t="s">
        <v>14</v>
      </c>
      <c r="C26" s="1" t="s">
        <v>14</v>
      </c>
      <c r="D26" s="1" t="s">
        <v>14</v>
      </c>
      <c r="E26" s="1" t="s">
        <v>14</v>
      </c>
      <c r="F26" s="2" t="s">
        <v>14</v>
      </c>
      <c r="G26" s="1" t="s">
        <v>14</v>
      </c>
      <c r="H26" s="1" t="s">
        <v>14</v>
      </c>
      <c r="I26" s="1" t="s">
        <v>14</v>
      </c>
      <c r="J26" s="1" t="s">
        <v>14</v>
      </c>
      <c r="K26" s="4">
        <v>163</v>
      </c>
      <c r="L26" s="3">
        <f t="shared" si="0"/>
        <v>163</v>
      </c>
      <c r="M26" s="5">
        <v>10</v>
      </c>
      <c r="N26" s="6">
        <f t="shared" si="1"/>
        <v>6.1349693251533742E-2</v>
      </c>
      <c r="O26" s="4">
        <v>0</v>
      </c>
      <c r="P26" s="3">
        <f t="shared" si="2"/>
        <v>153</v>
      </c>
      <c r="Q26" s="5">
        <v>34</v>
      </c>
      <c r="R26" s="6">
        <f t="shared" si="3"/>
        <v>0.22222222222222221</v>
      </c>
    </row>
    <row r="27" spans="1:18" x14ac:dyDescent="0.25">
      <c r="A27" s="1" t="s">
        <v>53</v>
      </c>
      <c r="B27" s="1" t="s">
        <v>14</v>
      </c>
      <c r="C27" s="1" t="s">
        <v>14</v>
      </c>
      <c r="D27" s="1" t="s">
        <v>14</v>
      </c>
      <c r="E27" s="1" t="s">
        <v>14</v>
      </c>
      <c r="F27" s="2" t="s">
        <v>14</v>
      </c>
      <c r="G27" s="1" t="s">
        <v>14</v>
      </c>
      <c r="H27" s="1" t="s">
        <v>14</v>
      </c>
      <c r="I27" s="1" t="s">
        <v>14</v>
      </c>
      <c r="J27" s="1" t="s">
        <v>14</v>
      </c>
      <c r="K27" s="4">
        <v>150</v>
      </c>
      <c r="L27" s="3">
        <f t="shared" si="0"/>
        <v>150</v>
      </c>
      <c r="M27" s="5">
        <v>11</v>
      </c>
      <c r="N27" s="6">
        <f t="shared" si="1"/>
        <v>7.3333333333333334E-2</v>
      </c>
      <c r="O27" s="4">
        <v>0</v>
      </c>
      <c r="P27" s="3">
        <f t="shared" si="2"/>
        <v>139</v>
      </c>
      <c r="Q27" s="5">
        <v>49</v>
      </c>
      <c r="R27" s="6">
        <f t="shared" si="3"/>
        <v>0.35251798561151076</v>
      </c>
    </row>
    <row r="28" spans="1:18" x14ac:dyDescent="0.25">
      <c r="A28" s="1" t="s">
        <v>54</v>
      </c>
      <c r="B28" s="1" t="s">
        <v>14</v>
      </c>
      <c r="C28" s="1" t="s">
        <v>14</v>
      </c>
      <c r="D28" s="1" t="s">
        <v>14</v>
      </c>
      <c r="E28" s="1" t="s">
        <v>14</v>
      </c>
      <c r="F28" s="2" t="s">
        <v>14</v>
      </c>
      <c r="G28" s="1" t="s">
        <v>14</v>
      </c>
      <c r="H28" s="1" t="s">
        <v>14</v>
      </c>
      <c r="I28" s="1" t="s">
        <v>14</v>
      </c>
      <c r="J28" s="1" t="s">
        <v>14</v>
      </c>
      <c r="K28" s="4">
        <v>164</v>
      </c>
      <c r="L28" s="3">
        <f t="shared" si="0"/>
        <v>164</v>
      </c>
      <c r="M28" s="5">
        <v>12</v>
      </c>
      <c r="N28" s="6">
        <f t="shared" si="1"/>
        <v>7.3170731707317069E-2</v>
      </c>
      <c r="O28" s="4">
        <v>0</v>
      </c>
      <c r="P28" s="3">
        <f t="shared" si="2"/>
        <v>152</v>
      </c>
      <c r="Q28" s="5">
        <v>48</v>
      </c>
      <c r="R28" s="6">
        <f t="shared" si="3"/>
        <v>0.31578947368421051</v>
      </c>
    </row>
    <row r="29" spans="1:18" x14ac:dyDescent="0.25">
      <c r="A29" s="1" t="s">
        <v>55</v>
      </c>
      <c r="B29" s="1" t="s">
        <v>14</v>
      </c>
      <c r="C29" s="1" t="s">
        <v>14</v>
      </c>
      <c r="D29" s="1" t="s">
        <v>14</v>
      </c>
      <c r="E29" s="1" t="s">
        <v>14</v>
      </c>
      <c r="F29" s="2" t="s">
        <v>14</v>
      </c>
      <c r="G29" s="1" t="s">
        <v>14</v>
      </c>
      <c r="H29" s="1" t="s">
        <v>14</v>
      </c>
      <c r="I29" s="1" t="s">
        <v>14</v>
      </c>
      <c r="J29" s="1" t="s">
        <v>14</v>
      </c>
      <c r="K29" s="4">
        <v>164</v>
      </c>
      <c r="L29" s="3">
        <f t="shared" si="0"/>
        <v>164</v>
      </c>
      <c r="M29" s="5">
        <v>6</v>
      </c>
      <c r="N29" s="6">
        <f t="shared" si="1"/>
        <v>3.6585365853658534E-2</v>
      </c>
      <c r="O29" s="4">
        <v>0</v>
      </c>
      <c r="P29" s="3">
        <f t="shared" si="2"/>
        <v>158</v>
      </c>
      <c r="Q29" s="5">
        <v>27</v>
      </c>
      <c r="R29" s="6">
        <f t="shared" si="3"/>
        <v>0.17088607594936708</v>
      </c>
    </row>
    <row r="30" spans="1:18" x14ac:dyDescent="0.25">
      <c r="A30" s="1" t="s">
        <v>56</v>
      </c>
      <c r="B30" s="1" t="s">
        <v>14</v>
      </c>
      <c r="C30" s="1" t="s">
        <v>14</v>
      </c>
      <c r="D30" s="1" t="s">
        <v>14</v>
      </c>
      <c r="E30" s="1" t="s">
        <v>14</v>
      </c>
      <c r="F30" s="2" t="s">
        <v>14</v>
      </c>
      <c r="G30" s="1" t="s">
        <v>14</v>
      </c>
      <c r="H30" s="1" t="s">
        <v>14</v>
      </c>
      <c r="I30" s="1" t="s">
        <v>14</v>
      </c>
      <c r="J30" s="1" t="s">
        <v>14</v>
      </c>
      <c r="K30" s="4">
        <v>128</v>
      </c>
      <c r="L30" s="3">
        <f t="shared" si="0"/>
        <v>128</v>
      </c>
      <c r="M30" s="5">
        <v>7</v>
      </c>
      <c r="N30" s="6">
        <f t="shared" si="1"/>
        <v>5.46875E-2</v>
      </c>
      <c r="O30" s="4">
        <v>0</v>
      </c>
      <c r="P30" s="3">
        <f t="shared" si="2"/>
        <v>121</v>
      </c>
      <c r="Q30" s="5">
        <v>34</v>
      </c>
      <c r="R30" s="6">
        <f t="shared" si="3"/>
        <v>0.28099173553719009</v>
      </c>
    </row>
    <row r="31" spans="1:18" x14ac:dyDescent="0.25">
      <c r="A31" s="1" t="s">
        <v>501</v>
      </c>
      <c r="B31" s="1" t="s">
        <v>14</v>
      </c>
      <c r="C31" s="1" t="s">
        <v>14</v>
      </c>
      <c r="D31" s="1" t="s">
        <v>14</v>
      </c>
      <c r="E31" s="1" t="s">
        <v>14</v>
      </c>
      <c r="F31" s="2" t="s">
        <v>14</v>
      </c>
      <c r="G31" s="1" t="s">
        <v>14</v>
      </c>
      <c r="H31" s="1" t="s">
        <v>14</v>
      </c>
      <c r="I31" s="1" t="s">
        <v>14</v>
      </c>
      <c r="J31" s="1" t="s">
        <v>14</v>
      </c>
      <c r="K31" s="4">
        <v>0</v>
      </c>
      <c r="L31" s="3">
        <f t="shared" si="0"/>
        <v>0</v>
      </c>
      <c r="M31" s="5">
        <v>0</v>
      </c>
      <c r="N31" s="6" t="e">
        <f t="shared" si="1"/>
        <v>#DIV/0!</v>
      </c>
      <c r="O31" s="4">
        <v>0</v>
      </c>
      <c r="P31" s="3">
        <f t="shared" si="2"/>
        <v>0</v>
      </c>
      <c r="Q31" s="5">
        <v>3</v>
      </c>
      <c r="R31" s="6" t="e">
        <f t="shared" si="3"/>
        <v>#DIV/0!</v>
      </c>
    </row>
    <row r="32" spans="1:18" x14ac:dyDescent="0.25">
      <c r="A32" s="1" t="s">
        <v>502</v>
      </c>
      <c r="B32" s="1" t="s">
        <v>14</v>
      </c>
      <c r="C32" s="1" t="s">
        <v>14</v>
      </c>
      <c r="D32" s="1" t="s">
        <v>14</v>
      </c>
      <c r="E32" s="1" t="s">
        <v>14</v>
      </c>
      <c r="F32" s="2" t="s">
        <v>14</v>
      </c>
      <c r="G32" s="1" t="s">
        <v>14</v>
      </c>
      <c r="H32" s="1" t="s">
        <v>14</v>
      </c>
      <c r="I32" s="1" t="s">
        <v>14</v>
      </c>
      <c r="J32" s="1" t="s">
        <v>14</v>
      </c>
      <c r="K32" s="4">
        <v>0</v>
      </c>
      <c r="L32" s="3">
        <f t="shared" si="0"/>
        <v>0</v>
      </c>
      <c r="M32" s="5">
        <v>0</v>
      </c>
      <c r="N32" s="6" t="e">
        <f t="shared" si="1"/>
        <v>#DIV/0!</v>
      </c>
      <c r="O32" s="4">
        <v>0</v>
      </c>
      <c r="P32" s="3">
        <f t="shared" si="2"/>
        <v>0</v>
      </c>
      <c r="Q32" s="5">
        <v>9</v>
      </c>
      <c r="R32" s="6" t="e">
        <f t="shared" si="3"/>
        <v>#DIV/0!</v>
      </c>
    </row>
    <row r="33" spans="1:18" x14ac:dyDescent="0.25">
      <c r="A33" s="1" t="s">
        <v>503</v>
      </c>
      <c r="B33" s="1" t="s">
        <v>14</v>
      </c>
      <c r="C33" s="1" t="s">
        <v>14</v>
      </c>
      <c r="D33" s="1" t="s">
        <v>14</v>
      </c>
      <c r="E33" s="1" t="s">
        <v>14</v>
      </c>
      <c r="F33" s="2" t="s">
        <v>14</v>
      </c>
      <c r="G33" s="1" t="s">
        <v>14</v>
      </c>
      <c r="H33" s="1" t="s">
        <v>14</v>
      </c>
      <c r="I33" s="1" t="s">
        <v>14</v>
      </c>
      <c r="J33" s="1" t="s">
        <v>14</v>
      </c>
      <c r="K33" s="4">
        <v>0</v>
      </c>
      <c r="L33" s="3">
        <f t="shared" si="0"/>
        <v>0</v>
      </c>
      <c r="M33" s="5">
        <v>0</v>
      </c>
      <c r="N33" s="6" t="e">
        <f t="shared" si="1"/>
        <v>#DIV/0!</v>
      </c>
      <c r="O33" s="4">
        <v>0</v>
      </c>
      <c r="P33" s="3">
        <f t="shared" si="2"/>
        <v>0</v>
      </c>
      <c r="Q33" s="5">
        <v>2</v>
      </c>
      <c r="R33" s="6" t="e">
        <f t="shared" si="3"/>
        <v>#DIV/0!</v>
      </c>
    </row>
    <row r="34" spans="1:18" x14ac:dyDescent="0.25">
      <c r="A34" s="1" t="s">
        <v>504</v>
      </c>
      <c r="B34" s="1" t="s">
        <v>14</v>
      </c>
      <c r="C34" s="1" t="s">
        <v>14</v>
      </c>
      <c r="D34" s="1" t="s">
        <v>14</v>
      </c>
      <c r="E34" s="1" t="s">
        <v>14</v>
      </c>
      <c r="F34" s="2" t="s">
        <v>14</v>
      </c>
      <c r="G34" s="1" t="s">
        <v>14</v>
      </c>
      <c r="H34" s="1" t="s">
        <v>14</v>
      </c>
      <c r="I34" s="1" t="s">
        <v>14</v>
      </c>
      <c r="J34" s="1" t="s">
        <v>14</v>
      </c>
      <c r="K34" s="4">
        <v>0</v>
      </c>
      <c r="L34" s="3">
        <f t="shared" si="0"/>
        <v>0</v>
      </c>
      <c r="M34" s="5">
        <v>0</v>
      </c>
      <c r="N34" s="6" t="e">
        <f t="shared" si="1"/>
        <v>#DIV/0!</v>
      </c>
      <c r="O34" s="4">
        <v>0</v>
      </c>
      <c r="P34" s="3">
        <f t="shared" si="2"/>
        <v>0</v>
      </c>
      <c r="Q34" s="5">
        <v>3</v>
      </c>
      <c r="R34" s="6" t="e">
        <f t="shared" si="3"/>
        <v>#DIV/0!</v>
      </c>
    </row>
    <row r="35" spans="1:18" x14ac:dyDescent="0.25">
      <c r="A35" s="1" t="s">
        <v>505</v>
      </c>
      <c r="B35" s="1" t="s">
        <v>14</v>
      </c>
      <c r="C35" s="1" t="s">
        <v>14</v>
      </c>
      <c r="D35" s="1" t="s">
        <v>14</v>
      </c>
      <c r="E35" s="1" t="s">
        <v>14</v>
      </c>
      <c r="F35" s="2" t="s">
        <v>14</v>
      </c>
      <c r="G35" s="1" t="s">
        <v>14</v>
      </c>
      <c r="H35" s="1" t="s">
        <v>14</v>
      </c>
      <c r="I35" s="1" t="s">
        <v>14</v>
      </c>
      <c r="J35" s="1" t="s">
        <v>14</v>
      </c>
      <c r="K35" s="4">
        <v>0</v>
      </c>
      <c r="L35" s="3">
        <f t="shared" si="0"/>
        <v>0</v>
      </c>
      <c r="M35" s="5">
        <v>0</v>
      </c>
      <c r="N35" s="6" t="e">
        <f t="shared" si="1"/>
        <v>#DIV/0!</v>
      </c>
      <c r="O35" s="4">
        <v>0</v>
      </c>
      <c r="P35" s="3">
        <f t="shared" si="2"/>
        <v>0</v>
      </c>
      <c r="Q35" s="5">
        <v>7</v>
      </c>
      <c r="R35" s="6" t="e">
        <f t="shared" si="3"/>
        <v>#DIV/0!</v>
      </c>
    </row>
    <row r="36" spans="1:18" x14ac:dyDescent="0.25">
      <c r="A36" s="1" t="s">
        <v>506</v>
      </c>
      <c r="B36" s="1" t="s">
        <v>14</v>
      </c>
      <c r="C36" s="1" t="s">
        <v>14</v>
      </c>
      <c r="D36" s="1" t="s">
        <v>14</v>
      </c>
      <c r="E36" s="1" t="s">
        <v>14</v>
      </c>
      <c r="F36" s="2" t="s">
        <v>14</v>
      </c>
      <c r="G36" s="1" t="s">
        <v>14</v>
      </c>
      <c r="H36" s="1" t="s">
        <v>14</v>
      </c>
      <c r="I36" s="1" t="s">
        <v>14</v>
      </c>
      <c r="J36" s="1" t="s">
        <v>14</v>
      </c>
      <c r="K36" s="4">
        <v>0</v>
      </c>
      <c r="L36" s="3">
        <f t="shared" si="0"/>
        <v>0</v>
      </c>
      <c r="M36" s="5">
        <v>0</v>
      </c>
      <c r="N36" s="6" t="e">
        <f t="shared" si="1"/>
        <v>#DIV/0!</v>
      </c>
      <c r="O36" s="4">
        <v>0</v>
      </c>
      <c r="P36" s="3">
        <f t="shared" si="2"/>
        <v>0</v>
      </c>
      <c r="Q36" s="5">
        <v>1</v>
      </c>
      <c r="R36" s="6" t="e">
        <f t="shared" si="3"/>
        <v>#DIV/0!</v>
      </c>
    </row>
    <row r="37" spans="1:18" x14ac:dyDescent="0.25">
      <c r="A37" s="1" t="s">
        <v>507</v>
      </c>
      <c r="B37" s="1" t="s">
        <v>14</v>
      </c>
      <c r="C37" s="1" t="s">
        <v>14</v>
      </c>
      <c r="D37" s="1" t="s">
        <v>14</v>
      </c>
      <c r="E37" s="1" t="s">
        <v>14</v>
      </c>
      <c r="F37" s="2" t="s">
        <v>14</v>
      </c>
      <c r="G37" s="1" t="s">
        <v>14</v>
      </c>
      <c r="H37" s="1" t="s">
        <v>14</v>
      </c>
      <c r="I37" s="1" t="s">
        <v>14</v>
      </c>
      <c r="J37" s="1" t="s">
        <v>14</v>
      </c>
      <c r="K37" s="4">
        <v>0</v>
      </c>
      <c r="L37" s="3">
        <f t="shared" si="0"/>
        <v>0</v>
      </c>
      <c r="M37" s="5">
        <v>0</v>
      </c>
      <c r="N37" s="6" t="e">
        <f t="shared" si="1"/>
        <v>#DIV/0!</v>
      </c>
      <c r="O37" s="4">
        <v>0</v>
      </c>
      <c r="P37" s="3">
        <f t="shared" si="2"/>
        <v>0</v>
      </c>
      <c r="Q37" s="5">
        <v>3</v>
      </c>
      <c r="R37" s="6" t="e">
        <f t="shared" si="3"/>
        <v>#DIV/0!</v>
      </c>
    </row>
    <row r="38" spans="1:18" x14ac:dyDescent="0.25">
      <c r="A38" s="1" t="s">
        <v>508</v>
      </c>
      <c r="B38" s="1" t="s">
        <v>14</v>
      </c>
      <c r="C38" s="1" t="s">
        <v>14</v>
      </c>
      <c r="D38" s="1" t="s">
        <v>14</v>
      </c>
      <c r="E38" s="1" t="s">
        <v>14</v>
      </c>
      <c r="F38" s="2" t="s">
        <v>14</v>
      </c>
      <c r="G38" s="1" t="s">
        <v>14</v>
      </c>
      <c r="H38" s="1" t="s">
        <v>14</v>
      </c>
      <c r="I38" s="1" t="s">
        <v>14</v>
      </c>
      <c r="J38" s="1" t="s">
        <v>14</v>
      </c>
      <c r="K38" s="4">
        <v>0</v>
      </c>
      <c r="L38" s="3">
        <f t="shared" si="0"/>
        <v>0</v>
      </c>
      <c r="M38" s="5">
        <v>0</v>
      </c>
      <c r="N38" s="6" t="e">
        <f t="shared" si="1"/>
        <v>#DIV/0!</v>
      </c>
      <c r="O38" s="4">
        <v>0</v>
      </c>
      <c r="P38" s="3">
        <f t="shared" si="2"/>
        <v>0</v>
      </c>
      <c r="Q38" s="5">
        <v>7</v>
      </c>
      <c r="R38" s="6" t="e">
        <f t="shared" si="3"/>
        <v>#DIV/0!</v>
      </c>
    </row>
    <row r="39" spans="1:18" x14ac:dyDescent="0.25">
      <c r="A39" s="1" t="s">
        <v>509</v>
      </c>
      <c r="B39" s="1" t="s">
        <v>14</v>
      </c>
      <c r="C39" s="1" t="s">
        <v>14</v>
      </c>
      <c r="D39" s="1" t="s">
        <v>14</v>
      </c>
      <c r="E39" s="1" t="s">
        <v>14</v>
      </c>
      <c r="F39" s="2" t="s">
        <v>14</v>
      </c>
      <c r="G39" s="1" t="s">
        <v>14</v>
      </c>
      <c r="H39" s="1" t="s">
        <v>14</v>
      </c>
      <c r="I39" s="1" t="s">
        <v>14</v>
      </c>
      <c r="J39" s="1" t="s">
        <v>14</v>
      </c>
      <c r="K39" s="4">
        <v>0</v>
      </c>
      <c r="L39" s="3">
        <f t="shared" si="0"/>
        <v>0</v>
      </c>
      <c r="M39" s="5">
        <v>0</v>
      </c>
      <c r="N39" s="6" t="e">
        <f t="shared" si="1"/>
        <v>#DIV/0!</v>
      </c>
      <c r="O39" s="4">
        <v>0</v>
      </c>
      <c r="P39" s="3">
        <f t="shared" si="2"/>
        <v>0</v>
      </c>
      <c r="Q39" s="5">
        <v>1</v>
      </c>
      <c r="R39" s="6" t="e">
        <f t="shared" si="3"/>
        <v>#DIV/0!</v>
      </c>
    </row>
    <row r="40" spans="1:18" x14ac:dyDescent="0.25">
      <c r="A40" s="1" t="s">
        <v>510</v>
      </c>
      <c r="B40" s="1" t="s">
        <v>14</v>
      </c>
      <c r="C40" s="1" t="s">
        <v>14</v>
      </c>
      <c r="D40" s="1" t="s">
        <v>14</v>
      </c>
      <c r="E40" s="1" t="s">
        <v>14</v>
      </c>
      <c r="F40" s="2" t="s">
        <v>14</v>
      </c>
      <c r="G40" s="1" t="s">
        <v>14</v>
      </c>
      <c r="H40" s="1" t="s">
        <v>14</v>
      </c>
      <c r="I40" s="1" t="s">
        <v>14</v>
      </c>
      <c r="J40" s="1" t="s">
        <v>14</v>
      </c>
      <c r="K40" s="4">
        <v>0</v>
      </c>
      <c r="L40" s="3">
        <f t="shared" si="0"/>
        <v>0</v>
      </c>
      <c r="M40" s="5">
        <v>0</v>
      </c>
      <c r="N40" s="6" t="e">
        <f t="shared" si="1"/>
        <v>#DIV/0!</v>
      </c>
      <c r="O40" s="4">
        <v>0</v>
      </c>
      <c r="P40" s="3">
        <f t="shared" si="2"/>
        <v>0</v>
      </c>
      <c r="Q40" s="5">
        <v>32</v>
      </c>
      <c r="R40" s="6" t="e">
        <f t="shared" si="3"/>
        <v>#DIV/0!</v>
      </c>
    </row>
    <row r="41" spans="1:18" x14ac:dyDescent="0.25">
      <c r="A41" s="1" t="s">
        <v>511</v>
      </c>
      <c r="B41" s="1" t="s">
        <v>14</v>
      </c>
      <c r="C41" s="1" t="s">
        <v>14</v>
      </c>
      <c r="D41" s="1" t="s">
        <v>14</v>
      </c>
      <c r="E41" s="1" t="s">
        <v>14</v>
      </c>
      <c r="F41" s="2" t="s">
        <v>14</v>
      </c>
      <c r="G41" s="1" t="s">
        <v>14</v>
      </c>
      <c r="H41" s="1" t="s">
        <v>14</v>
      </c>
      <c r="I41" s="1" t="s">
        <v>14</v>
      </c>
      <c r="J41" s="1" t="s">
        <v>14</v>
      </c>
      <c r="K41" s="4">
        <v>0</v>
      </c>
      <c r="L41" s="3">
        <f t="shared" si="0"/>
        <v>0</v>
      </c>
      <c r="M41" s="5">
        <v>0</v>
      </c>
      <c r="N41" s="6" t="e">
        <f t="shared" si="1"/>
        <v>#DIV/0!</v>
      </c>
      <c r="O41" s="4">
        <v>0</v>
      </c>
      <c r="P41" s="3">
        <f t="shared" si="2"/>
        <v>0</v>
      </c>
      <c r="Q41" s="5">
        <v>17</v>
      </c>
      <c r="R41" s="6" t="e">
        <f t="shared" si="3"/>
        <v>#DIV/0!</v>
      </c>
    </row>
    <row r="42" spans="1:18" x14ac:dyDescent="0.25">
      <c r="A42" s="1" t="s">
        <v>512</v>
      </c>
      <c r="B42" s="1" t="s">
        <v>14</v>
      </c>
      <c r="C42" s="1" t="s">
        <v>14</v>
      </c>
      <c r="D42" s="1" t="s">
        <v>14</v>
      </c>
      <c r="E42" s="1" t="s">
        <v>14</v>
      </c>
      <c r="F42" s="2" t="s">
        <v>14</v>
      </c>
      <c r="G42" s="1" t="s">
        <v>14</v>
      </c>
      <c r="H42" s="1" t="s">
        <v>14</v>
      </c>
      <c r="I42" s="1" t="s">
        <v>14</v>
      </c>
      <c r="J42" s="1" t="s">
        <v>14</v>
      </c>
      <c r="K42" s="4">
        <v>0</v>
      </c>
      <c r="L42" s="3">
        <f t="shared" si="0"/>
        <v>0</v>
      </c>
      <c r="M42" s="5">
        <v>0</v>
      </c>
      <c r="N42" s="6" t="e">
        <f t="shared" si="1"/>
        <v>#DIV/0!</v>
      </c>
      <c r="O42" s="4">
        <v>0</v>
      </c>
      <c r="P42" s="3">
        <f t="shared" si="2"/>
        <v>0</v>
      </c>
      <c r="Q42" s="5">
        <v>13</v>
      </c>
      <c r="R42" s="6" t="e">
        <f t="shared" si="3"/>
        <v>#DIV/0!</v>
      </c>
    </row>
    <row r="43" spans="1:18" x14ac:dyDescent="0.25">
      <c r="A43" s="1" t="s">
        <v>513</v>
      </c>
      <c r="B43" s="1" t="s">
        <v>14</v>
      </c>
      <c r="C43" s="1" t="s">
        <v>14</v>
      </c>
      <c r="D43" s="1" t="s">
        <v>14</v>
      </c>
      <c r="E43" s="1" t="s">
        <v>14</v>
      </c>
      <c r="F43" s="2" t="s">
        <v>14</v>
      </c>
      <c r="G43" s="1" t="s">
        <v>14</v>
      </c>
      <c r="H43" s="1" t="s">
        <v>14</v>
      </c>
      <c r="I43" s="1" t="s">
        <v>14</v>
      </c>
      <c r="J43" s="1" t="s">
        <v>14</v>
      </c>
      <c r="K43" s="4">
        <v>0</v>
      </c>
      <c r="L43" s="3">
        <f t="shared" si="0"/>
        <v>0</v>
      </c>
      <c r="M43" s="5">
        <v>0</v>
      </c>
      <c r="N43" s="6" t="e">
        <f t="shared" si="1"/>
        <v>#DIV/0!</v>
      </c>
      <c r="O43" s="4">
        <v>0</v>
      </c>
      <c r="P43" s="3">
        <f t="shared" si="2"/>
        <v>0</v>
      </c>
      <c r="Q43" s="5">
        <v>7</v>
      </c>
      <c r="R43" s="6" t="e">
        <f t="shared" si="3"/>
        <v>#DIV/0!</v>
      </c>
    </row>
    <row r="44" spans="1:18" x14ac:dyDescent="0.25">
      <c r="A44" s="1" t="s">
        <v>143</v>
      </c>
      <c r="B44" s="1" t="s">
        <v>14</v>
      </c>
      <c r="C44" s="1" t="s">
        <v>14</v>
      </c>
      <c r="D44" s="1" t="s">
        <v>14</v>
      </c>
      <c r="E44" s="1" t="s">
        <v>14</v>
      </c>
      <c r="F44" s="2" t="s">
        <v>14</v>
      </c>
      <c r="G44" s="1" t="s">
        <v>14</v>
      </c>
      <c r="H44" s="1" t="s">
        <v>14</v>
      </c>
      <c r="I44" s="1" t="s">
        <v>14</v>
      </c>
      <c r="J44" s="1" t="s">
        <v>14</v>
      </c>
      <c r="K44" s="4">
        <v>0</v>
      </c>
      <c r="L44" s="3">
        <f t="shared" si="0"/>
        <v>0</v>
      </c>
      <c r="M44" s="5">
        <v>0</v>
      </c>
      <c r="N44" s="6" t="e">
        <f t="shared" si="1"/>
        <v>#DIV/0!</v>
      </c>
      <c r="O44" s="4">
        <v>0</v>
      </c>
      <c r="P44" s="3">
        <f t="shared" si="2"/>
        <v>0</v>
      </c>
      <c r="Q44" s="5">
        <v>0</v>
      </c>
      <c r="R44" s="6" t="e">
        <f t="shared" si="3"/>
        <v>#DIV/0!</v>
      </c>
    </row>
    <row r="45" spans="1:18" x14ac:dyDescent="0.25">
      <c r="A45" s="1" t="s">
        <v>57</v>
      </c>
      <c r="B45" s="1" t="s">
        <v>14</v>
      </c>
      <c r="C45" s="1" t="s">
        <v>14</v>
      </c>
      <c r="D45" s="1" t="s">
        <v>14</v>
      </c>
      <c r="E45" s="1" t="s">
        <v>14</v>
      </c>
      <c r="F45" s="2" t="s">
        <v>14</v>
      </c>
      <c r="G45" s="1" t="s">
        <v>14</v>
      </c>
      <c r="H45" s="1" t="s">
        <v>14</v>
      </c>
      <c r="I45" s="1" t="s">
        <v>14</v>
      </c>
      <c r="J45" s="1" t="s">
        <v>14</v>
      </c>
      <c r="K45" s="4">
        <v>1020</v>
      </c>
      <c r="L45" s="3">
        <f t="shared" si="0"/>
        <v>1020</v>
      </c>
      <c r="M45" s="5">
        <v>13</v>
      </c>
      <c r="N45" s="6">
        <f t="shared" si="1"/>
        <v>1.2745098039215686E-2</v>
      </c>
      <c r="O45" s="4">
        <v>0</v>
      </c>
      <c r="P45" s="3">
        <f t="shared" si="2"/>
        <v>1007</v>
      </c>
      <c r="Q45" s="5">
        <v>59</v>
      </c>
      <c r="R45" s="6">
        <f t="shared" si="3"/>
        <v>5.8589870903674283E-2</v>
      </c>
    </row>
    <row r="46" spans="1:18" x14ac:dyDescent="0.25">
      <c r="A46" s="1" t="s">
        <v>94</v>
      </c>
      <c r="B46" s="1" t="s">
        <v>14</v>
      </c>
      <c r="C46" s="1" t="s">
        <v>14</v>
      </c>
      <c r="D46" s="1" t="s">
        <v>14</v>
      </c>
      <c r="E46" s="1" t="s">
        <v>14</v>
      </c>
      <c r="F46" s="2" t="s">
        <v>14</v>
      </c>
      <c r="G46" s="1" t="s">
        <v>14</v>
      </c>
      <c r="H46" s="1" t="s">
        <v>14</v>
      </c>
      <c r="I46" s="1" t="s">
        <v>14</v>
      </c>
      <c r="J46" s="1" t="s">
        <v>14</v>
      </c>
      <c r="K46" s="4">
        <v>0</v>
      </c>
      <c r="L46" s="3">
        <f t="shared" si="0"/>
        <v>0</v>
      </c>
      <c r="M46" s="5">
        <v>0</v>
      </c>
      <c r="N46" s="6" t="e">
        <f t="shared" si="1"/>
        <v>#DIV/0!</v>
      </c>
      <c r="O46" s="4">
        <v>0</v>
      </c>
      <c r="P46" s="3">
        <f t="shared" si="2"/>
        <v>0</v>
      </c>
      <c r="Q46" s="5">
        <v>0</v>
      </c>
      <c r="R46" s="6" t="e">
        <f t="shared" si="3"/>
        <v>#DIV/0!</v>
      </c>
    </row>
    <row r="47" spans="1:18" x14ac:dyDescent="0.25">
      <c r="A47" s="1" t="s">
        <v>58</v>
      </c>
      <c r="B47" s="1" t="s">
        <v>14</v>
      </c>
      <c r="C47" s="1" t="s">
        <v>14</v>
      </c>
      <c r="D47" s="1" t="s">
        <v>14</v>
      </c>
      <c r="E47" s="1" t="s">
        <v>14</v>
      </c>
      <c r="F47" s="2" t="s">
        <v>14</v>
      </c>
      <c r="G47" s="1" t="s">
        <v>14</v>
      </c>
      <c r="H47" s="1" t="s">
        <v>14</v>
      </c>
      <c r="I47" s="1" t="s">
        <v>14</v>
      </c>
      <c r="J47" s="1" t="s">
        <v>14</v>
      </c>
      <c r="K47" s="4">
        <v>160</v>
      </c>
      <c r="L47" s="3">
        <f t="shared" si="0"/>
        <v>160</v>
      </c>
      <c r="M47" s="5">
        <v>7</v>
      </c>
      <c r="N47" s="6">
        <f t="shared" si="1"/>
        <v>4.3749999999999997E-2</v>
      </c>
      <c r="O47" s="4">
        <v>0</v>
      </c>
      <c r="P47" s="3">
        <f t="shared" si="2"/>
        <v>153</v>
      </c>
      <c r="Q47" s="5">
        <v>19</v>
      </c>
      <c r="R47" s="6">
        <f t="shared" si="3"/>
        <v>0.12418300653594772</v>
      </c>
    </row>
    <row r="48" spans="1:18" x14ac:dyDescent="0.25">
      <c r="A48" s="1" t="s">
        <v>59</v>
      </c>
      <c r="B48" s="1" t="s">
        <v>14</v>
      </c>
      <c r="C48" s="1" t="s">
        <v>14</v>
      </c>
      <c r="D48" s="1" t="s">
        <v>14</v>
      </c>
      <c r="E48" s="1" t="s">
        <v>14</v>
      </c>
      <c r="F48" s="2" t="s">
        <v>14</v>
      </c>
      <c r="G48" s="1" t="s">
        <v>14</v>
      </c>
      <c r="H48" s="1" t="s">
        <v>14</v>
      </c>
      <c r="I48" s="1" t="s">
        <v>14</v>
      </c>
      <c r="J48" s="1" t="s">
        <v>14</v>
      </c>
      <c r="K48" s="4">
        <v>60</v>
      </c>
      <c r="L48" s="3">
        <f t="shared" si="0"/>
        <v>60</v>
      </c>
      <c r="M48" s="5">
        <v>3</v>
      </c>
      <c r="N48" s="6">
        <f t="shared" si="1"/>
        <v>0.05</v>
      </c>
      <c r="O48" s="4">
        <v>0</v>
      </c>
      <c r="P48" s="3">
        <f t="shared" si="2"/>
        <v>57</v>
      </c>
      <c r="Q48" s="5">
        <v>5</v>
      </c>
      <c r="R48" s="6">
        <f t="shared" si="3"/>
        <v>8.771929824561403E-2</v>
      </c>
    </row>
    <row r="49" spans="1:18" x14ac:dyDescent="0.25">
      <c r="A49" s="1" t="s">
        <v>60</v>
      </c>
      <c r="B49" s="1" t="s">
        <v>14</v>
      </c>
      <c r="C49" s="1" t="s">
        <v>14</v>
      </c>
      <c r="D49" s="1" t="s">
        <v>14</v>
      </c>
      <c r="E49" s="1" t="s">
        <v>14</v>
      </c>
      <c r="F49" s="2" t="s">
        <v>14</v>
      </c>
      <c r="G49" s="1" t="s">
        <v>14</v>
      </c>
      <c r="H49" s="1" t="s">
        <v>14</v>
      </c>
      <c r="I49" s="1" t="s">
        <v>14</v>
      </c>
      <c r="J49" s="1" t="s">
        <v>14</v>
      </c>
      <c r="K49" s="4">
        <v>120</v>
      </c>
      <c r="L49" s="3">
        <f t="shared" si="0"/>
        <v>120</v>
      </c>
      <c r="M49" s="5">
        <v>7</v>
      </c>
      <c r="N49" s="6">
        <f t="shared" si="1"/>
        <v>5.8333333333333334E-2</v>
      </c>
      <c r="O49" s="4">
        <v>0</v>
      </c>
      <c r="P49" s="3">
        <f t="shared" si="2"/>
        <v>113</v>
      </c>
      <c r="Q49" s="5">
        <v>21</v>
      </c>
      <c r="R49" s="6">
        <f t="shared" si="3"/>
        <v>0.18584070796460178</v>
      </c>
    </row>
    <row r="50" spans="1:18" x14ac:dyDescent="0.25">
      <c r="A50" s="1" t="s">
        <v>61</v>
      </c>
      <c r="B50" s="1" t="s">
        <v>14</v>
      </c>
      <c r="C50" s="1" t="s">
        <v>14</v>
      </c>
      <c r="D50" s="1" t="s">
        <v>14</v>
      </c>
      <c r="E50" s="1" t="s">
        <v>14</v>
      </c>
      <c r="F50" s="2" t="s">
        <v>14</v>
      </c>
      <c r="G50" s="1" t="s">
        <v>14</v>
      </c>
      <c r="H50" s="1" t="s">
        <v>14</v>
      </c>
      <c r="I50" s="1" t="s">
        <v>14</v>
      </c>
      <c r="J50" s="1" t="s">
        <v>14</v>
      </c>
      <c r="K50" s="4">
        <v>160</v>
      </c>
      <c r="L50" s="3">
        <f t="shared" si="0"/>
        <v>160</v>
      </c>
      <c r="M50" s="5">
        <v>20</v>
      </c>
      <c r="N50" s="6">
        <f t="shared" si="1"/>
        <v>0.125</v>
      </c>
      <c r="O50" s="4">
        <v>0</v>
      </c>
      <c r="P50" s="3">
        <f t="shared" si="2"/>
        <v>140</v>
      </c>
      <c r="Q50" s="5">
        <v>38</v>
      </c>
      <c r="R50" s="6">
        <f t="shared" si="3"/>
        <v>0.27142857142857141</v>
      </c>
    </row>
    <row r="51" spans="1:18" x14ac:dyDescent="0.25">
      <c r="A51" s="1" t="s">
        <v>62</v>
      </c>
      <c r="B51" s="1" t="s">
        <v>14</v>
      </c>
      <c r="C51" s="1" t="s">
        <v>14</v>
      </c>
      <c r="D51" s="1" t="s">
        <v>14</v>
      </c>
      <c r="E51" s="1" t="s">
        <v>14</v>
      </c>
      <c r="F51" s="2" t="s">
        <v>14</v>
      </c>
      <c r="G51" s="1" t="s">
        <v>14</v>
      </c>
      <c r="H51" s="1" t="s">
        <v>14</v>
      </c>
      <c r="I51" s="1" t="s">
        <v>14</v>
      </c>
      <c r="J51" s="1" t="s">
        <v>14</v>
      </c>
      <c r="K51" s="4">
        <v>79</v>
      </c>
      <c r="L51" s="3">
        <f t="shared" si="0"/>
        <v>79</v>
      </c>
      <c r="M51" s="5">
        <v>8</v>
      </c>
      <c r="N51" s="6">
        <f t="shared" si="1"/>
        <v>0.10126582278481013</v>
      </c>
      <c r="O51" s="4">
        <v>0</v>
      </c>
      <c r="P51" s="3">
        <f t="shared" si="2"/>
        <v>71</v>
      </c>
      <c r="Q51" s="5">
        <v>28</v>
      </c>
      <c r="R51" s="6">
        <f t="shared" si="3"/>
        <v>0.39436619718309857</v>
      </c>
    </row>
    <row r="52" spans="1:18" x14ac:dyDescent="0.25">
      <c r="A52" s="1" t="s">
        <v>514</v>
      </c>
      <c r="B52" s="1" t="s">
        <v>14</v>
      </c>
      <c r="C52" s="1" t="s">
        <v>14</v>
      </c>
      <c r="D52" s="1" t="s">
        <v>14</v>
      </c>
      <c r="E52" s="1" t="s">
        <v>14</v>
      </c>
      <c r="F52" s="2" t="s">
        <v>14</v>
      </c>
      <c r="G52" s="1" t="s">
        <v>14</v>
      </c>
      <c r="H52" s="1" t="s">
        <v>14</v>
      </c>
      <c r="I52" s="1" t="s">
        <v>14</v>
      </c>
      <c r="J52" s="1" t="s">
        <v>14</v>
      </c>
      <c r="K52" s="4">
        <v>60</v>
      </c>
      <c r="L52" s="3">
        <f t="shared" si="0"/>
        <v>60</v>
      </c>
      <c r="M52" s="5">
        <v>0</v>
      </c>
      <c r="N52" s="6">
        <f t="shared" si="1"/>
        <v>0</v>
      </c>
      <c r="O52" s="4">
        <v>0</v>
      </c>
      <c r="P52" s="3">
        <f t="shared" si="2"/>
        <v>60</v>
      </c>
      <c r="Q52" s="5">
        <v>7</v>
      </c>
      <c r="R52" s="6">
        <f t="shared" si="3"/>
        <v>0.11666666666666667</v>
      </c>
    </row>
    <row r="53" spans="1:18" x14ac:dyDescent="0.25">
      <c r="A53" s="1" t="s">
        <v>63</v>
      </c>
      <c r="B53" s="1" t="s">
        <v>14</v>
      </c>
      <c r="C53" s="1" t="s">
        <v>14</v>
      </c>
      <c r="D53" s="1" t="s">
        <v>14</v>
      </c>
      <c r="E53" s="1" t="s">
        <v>14</v>
      </c>
      <c r="F53" s="2" t="s">
        <v>14</v>
      </c>
      <c r="G53" s="1" t="s">
        <v>14</v>
      </c>
      <c r="H53" s="1" t="s">
        <v>14</v>
      </c>
      <c r="I53" s="1" t="s">
        <v>14</v>
      </c>
      <c r="J53" s="1" t="s">
        <v>14</v>
      </c>
      <c r="K53" s="4">
        <v>80</v>
      </c>
      <c r="L53" s="3">
        <f t="shared" si="0"/>
        <v>80</v>
      </c>
      <c r="M53" s="5">
        <v>10</v>
      </c>
      <c r="N53" s="6">
        <f t="shared" si="1"/>
        <v>0.125</v>
      </c>
      <c r="O53" s="4">
        <v>0</v>
      </c>
      <c r="P53" s="3">
        <f t="shared" si="2"/>
        <v>70</v>
      </c>
      <c r="Q53" s="5">
        <v>22</v>
      </c>
      <c r="R53" s="6">
        <f t="shared" si="3"/>
        <v>0.31428571428571428</v>
      </c>
    </row>
    <row r="54" spans="1:18" x14ac:dyDescent="0.25">
      <c r="A54" s="1" t="s">
        <v>64</v>
      </c>
      <c r="B54" s="1" t="s">
        <v>14</v>
      </c>
      <c r="C54" s="1" t="s">
        <v>14</v>
      </c>
      <c r="D54" s="1" t="s">
        <v>14</v>
      </c>
      <c r="E54" s="1" t="s">
        <v>14</v>
      </c>
      <c r="F54" s="2" t="s">
        <v>14</v>
      </c>
      <c r="G54" s="1" t="s">
        <v>14</v>
      </c>
      <c r="H54" s="1" t="s">
        <v>14</v>
      </c>
      <c r="I54" s="1" t="s">
        <v>14</v>
      </c>
      <c r="J54" s="1" t="s">
        <v>14</v>
      </c>
      <c r="K54" s="4">
        <v>156</v>
      </c>
      <c r="L54" s="3">
        <f t="shared" si="0"/>
        <v>156</v>
      </c>
      <c r="M54" s="5">
        <v>15</v>
      </c>
      <c r="N54" s="6">
        <f t="shared" si="1"/>
        <v>9.6153846153846159E-2</v>
      </c>
      <c r="O54" s="4">
        <v>0</v>
      </c>
      <c r="P54" s="3">
        <f t="shared" si="2"/>
        <v>141</v>
      </c>
      <c r="Q54" s="5">
        <v>33</v>
      </c>
      <c r="R54" s="6">
        <f t="shared" si="3"/>
        <v>0.23404255319148937</v>
      </c>
    </row>
    <row r="55" spans="1:18" x14ac:dyDescent="0.25">
      <c r="A55" s="1" t="s">
        <v>515</v>
      </c>
      <c r="B55" s="1" t="s">
        <v>14</v>
      </c>
      <c r="C55" s="1" t="s">
        <v>14</v>
      </c>
      <c r="D55" s="1" t="s">
        <v>14</v>
      </c>
      <c r="E55" s="1" t="s">
        <v>14</v>
      </c>
      <c r="F55" s="2" t="s">
        <v>14</v>
      </c>
      <c r="G55" s="1" t="s">
        <v>14</v>
      </c>
      <c r="H55" s="1" t="s">
        <v>14</v>
      </c>
      <c r="I55" s="1" t="s">
        <v>14</v>
      </c>
      <c r="J55" s="1" t="s">
        <v>14</v>
      </c>
      <c r="K55" s="4">
        <v>0</v>
      </c>
      <c r="L55" s="3">
        <f t="shared" si="0"/>
        <v>0</v>
      </c>
      <c r="M55" s="5">
        <v>0</v>
      </c>
      <c r="N55" s="6" t="e">
        <f t="shared" si="1"/>
        <v>#DIV/0!</v>
      </c>
      <c r="O55" s="4">
        <v>548</v>
      </c>
      <c r="P55" s="3">
        <f t="shared" si="2"/>
        <v>548</v>
      </c>
      <c r="Q55" s="5">
        <v>24</v>
      </c>
      <c r="R55" s="6">
        <f t="shared" si="3"/>
        <v>4.3795620437956206E-2</v>
      </c>
    </row>
    <row r="56" spans="1:18" x14ac:dyDescent="0.25">
      <c r="A56" s="1" t="s">
        <v>516</v>
      </c>
      <c r="B56" s="1" t="s">
        <v>14</v>
      </c>
      <c r="C56" s="1" t="s">
        <v>14</v>
      </c>
      <c r="D56" s="1" t="s">
        <v>14</v>
      </c>
      <c r="E56" s="1" t="s">
        <v>14</v>
      </c>
      <c r="F56" s="2" t="s">
        <v>14</v>
      </c>
      <c r="G56" s="1" t="s">
        <v>14</v>
      </c>
      <c r="H56" s="1" t="s">
        <v>14</v>
      </c>
      <c r="I56" s="1" t="s">
        <v>14</v>
      </c>
      <c r="J56" s="1" t="s">
        <v>14</v>
      </c>
      <c r="K56" s="4">
        <v>0</v>
      </c>
      <c r="L56" s="3">
        <f t="shared" si="0"/>
        <v>0</v>
      </c>
      <c r="M56" s="5">
        <v>0</v>
      </c>
      <c r="N56" s="6" t="e">
        <f t="shared" si="1"/>
        <v>#DIV/0!</v>
      </c>
      <c r="O56" s="4">
        <v>1054</v>
      </c>
      <c r="P56" s="3">
        <f t="shared" si="2"/>
        <v>1054</v>
      </c>
      <c r="Q56" s="5">
        <v>16</v>
      </c>
      <c r="R56" s="6">
        <f t="shared" si="3"/>
        <v>1.5180265654648957E-2</v>
      </c>
    </row>
    <row r="57" spans="1:18" x14ac:dyDescent="0.25">
      <c r="A57" s="1" t="s">
        <v>517</v>
      </c>
      <c r="B57" s="1" t="s">
        <v>14</v>
      </c>
      <c r="C57" s="1" t="s">
        <v>14</v>
      </c>
      <c r="D57" s="1" t="s">
        <v>14</v>
      </c>
      <c r="E57" s="1" t="s">
        <v>14</v>
      </c>
      <c r="F57" s="2" t="s">
        <v>14</v>
      </c>
      <c r="G57" s="1" t="s">
        <v>14</v>
      </c>
      <c r="H57" s="1" t="s">
        <v>14</v>
      </c>
      <c r="I57" s="1" t="s">
        <v>14</v>
      </c>
      <c r="J57" s="1" t="s">
        <v>14</v>
      </c>
      <c r="K57" s="4">
        <v>0</v>
      </c>
      <c r="L57" s="3">
        <f t="shared" si="0"/>
        <v>0</v>
      </c>
      <c r="M57" s="5">
        <v>0</v>
      </c>
      <c r="N57" s="6" t="e">
        <f t="shared" si="1"/>
        <v>#DIV/0!</v>
      </c>
      <c r="O57" s="4">
        <v>111</v>
      </c>
      <c r="P57" s="3">
        <f t="shared" si="2"/>
        <v>111</v>
      </c>
      <c r="Q57" s="5">
        <v>7</v>
      </c>
      <c r="R57" s="6">
        <f t="shared" si="3"/>
        <v>6.3063063063063057E-2</v>
      </c>
    </row>
    <row r="58" spans="1:18" x14ac:dyDescent="0.25">
      <c r="A58" s="1" t="s">
        <v>518</v>
      </c>
      <c r="B58" s="1" t="s">
        <v>14</v>
      </c>
      <c r="C58" s="1" t="s">
        <v>14</v>
      </c>
      <c r="D58" s="1" t="s">
        <v>14</v>
      </c>
      <c r="E58" s="1" t="s">
        <v>14</v>
      </c>
      <c r="F58" s="2" t="s">
        <v>14</v>
      </c>
      <c r="G58" s="1" t="s">
        <v>14</v>
      </c>
      <c r="H58" s="1" t="s">
        <v>14</v>
      </c>
      <c r="I58" s="1" t="s">
        <v>14</v>
      </c>
      <c r="J58" s="1" t="s">
        <v>14</v>
      </c>
      <c r="K58" s="4">
        <v>0</v>
      </c>
      <c r="L58" s="3">
        <f t="shared" si="0"/>
        <v>0</v>
      </c>
      <c r="M58" s="5">
        <v>0</v>
      </c>
      <c r="N58" s="6" t="e">
        <f t="shared" si="1"/>
        <v>#DIV/0!</v>
      </c>
      <c r="O58" s="4">
        <v>168</v>
      </c>
      <c r="P58" s="3">
        <f t="shared" si="2"/>
        <v>168</v>
      </c>
      <c r="Q58" s="5">
        <v>12</v>
      </c>
      <c r="R58" s="6">
        <f t="shared" si="3"/>
        <v>7.1428571428571425E-2</v>
      </c>
    </row>
    <row r="59" spans="1:18" x14ac:dyDescent="0.25">
      <c r="A59" s="1" t="s">
        <v>519</v>
      </c>
      <c r="B59" s="1" t="s">
        <v>14</v>
      </c>
      <c r="C59" s="1" t="s">
        <v>14</v>
      </c>
      <c r="D59" s="1" t="s">
        <v>14</v>
      </c>
      <c r="E59" s="1" t="s">
        <v>14</v>
      </c>
      <c r="F59" s="2" t="s">
        <v>14</v>
      </c>
      <c r="G59" s="1" t="s">
        <v>14</v>
      </c>
      <c r="H59" s="1" t="s">
        <v>14</v>
      </c>
      <c r="I59" s="1" t="s">
        <v>14</v>
      </c>
      <c r="J59" s="1" t="s">
        <v>14</v>
      </c>
      <c r="K59" s="4">
        <v>0</v>
      </c>
      <c r="L59" s="3">
        <f t="shared" si="0"/>
        <v>0</v>
      </c>
      <c r="M59" s="5">
        <v>0</v>
      </c>
      <c r="N59" s="6" t="e">
        <f t="shared" si="1"/>
        <v>#DIV/0!</v>
      </c>
      <c r="O59" s="4">
        <v>221</v>
      </c>
      <c r="P59" s="3">
        <f t="shared" si="2"/>
        <v>221</v>
      </c>
      <c r="Q59" s="5">
        <v>16</v>
      </c>
      <c r="R59" s="6">
        <f t="shared" si="3"/>
        <v>7.2398190045248875E-2</v>
      </c>
    </row>
    <row r="60" spans="1:18" x14ac:dyDescent="0.25">
      <c r="A60" s="1" t="s">
        <v>520</v>
      </c>
      <c r="B60" s="1" t="s">
        <v>14</v>
      </c>
      <c r="C60" s="1" t="s">
        <v>14</v>
      </c>
      <c r="D60" s="1" t="s">
        <v>14</v>
      </c>
      <c r="E60" s="1" t="s">
        <v>14</v>
      </c>
      <c r="F60" s="2" t="s">
        <v>14</v>
      </c>
      <c r="G60" s="1" t="s">
        <v>14</v>
      </c>
      <c r="H60" s="1" t="s">
        <v>14</v>
      </c>
      <c r="I60" s="1" t="s">
        <v>14</v>
      </c>
      <c r="J60" s="1" t="s">
        <v>14</v>
      </c>
      <c r="K60" s="4">
        <v>0</v>
      </c>
      <c r="L60" s="3">
        <f t="shared" si="0"/>
        <v>0</v>
      </c>
      <c r="M60" s="5">
        <v>0</v>
      </c>
      <c r="N60" s="6" t="e">
        <f t="shared" si="1"/>
        <v>#DIV/0!</v>
      </c>
      <c r="O60" s="4">
        <v>224</v>
      </c>
      <c r="P60" s="3">
        <f t="shared" si="2"/>
        <v>224</v>
      </c>
      <c r="Q60" s="5">
        <v>8</v>
      </c>
      <c r="R60" s="6">
        <f t="shared" si="3"/>
        <v>3.5714285714285712E-2</v>
      </c>
    </row>
    <row r="61" spans="1:18" x14ac:dyDescent="0.25">
      <c r="A61" s="1" t="s">
        <v>521</v>
      </c>
      <c r="B61" s="1" t="s">
        <v>14</v>
      </c>
      <c r="C61" s="1" t="s">
        <v>14</v>
      </c>
      <c r="D61" s="1" t="s">
        <v>14</v>
      </c>
      <c r="E61" s="1" t="s">
        <v>14</v>
      </c>
      <c r="F61" s="2" t="s">
        <v>14</v>
      </c>
      <c r="G61" s="1" t="s">
        <v>14</v>
      </c>
      <c r="H61" s="1" t="s">
        <v>14</v>
      </c>
      <c r="I61" s="1" t="s">
        <v>14</v>
      </c>
      <c r="J61" s="1" t="s">
        <v>14</v>
      </c>
      <c r="K61" s="4">
        <v>0</v>
      </c>
      <c r="L61" s="3">
        <f t="shared" si="0"/>
        <v>0</v>
      </c>
      <c r="M61" s="5">
        <v>0</v>
      </c>
      <c r="N61" s="6" t="e">
        <f t="shared" si="1"/>
        <v>#DIV/0!</v>
      </c>
      <c r="O61" s="4">
        <v>224</v>
      </c>
      <c r="P61" s="3">
        <f t="shared" si="2"/>
        <v>224</v>
      </c>
      <c r="Q61" s="5">
        <v>9</v>
      </c>
      <c r="R61" s="6">
        <f t="shared" si="3"/>
        <v>4.0178571428571432E-2</v>
      </c>
    </row>
    <row r="62" spans="1:18" x14ac:dyDescent="0.25">
      <c r="A62" s="1" t="s">
        <v>522</v>
      </c>
      <c r="B62" s="1" t="s">
        <v>14</v>
      </c>
      <c r="C62" s="1" t="s">
        <v>14</v>
      </c>
      <c r="D62" s="1" t="s">
        <v>14</v>
      </c>
      <c r="E62" s="1" t="s">
        <v>14</v>
      </c>
      <c r="F62" s="2" t="s">
        <v>14</v>
      </c>
      <c r="G62" s="1" t="s">
        <v>14</v>
      </c>
      <c r="H62" s="1" t="s">
        <v>14</v>
      </c>
      <c r="I62" s="1" t="s">
        <v>14</v>
      </c>
      <c r="J62" s="1" t="s">
        <v>14</v>
      </c>
      <c r="K62" s="4">
        <v>0</v>
      </c>
      <c r="L62" s="3">
        <f t="shared" si="0"/>
        <v>0</v>
      </c>
      <c r="M62" s="5">
        <v>0</v>
      </c>
      <c r="N62" s="6" t="e">
        <f t="shared" si="1"/>
        <v>#DIV/0!</v>
      </c>
      <c r="O62" s="4">
        <v>224</v>
      </c>
      <c r="P62" s="3">
        <f t="shared" si="2"/>
        <v>224</v>
      </c>
      <c r="Q62" s="5">
        <v>14</v>
      </c>
      <c r="R62" s="6">
        <f t="shared" si="3"/>
        <v>6.25E-2</v>
      </c>
    </row>
    <row r="63" spans="1:18" x14ac:dyDescent="0.25">
      <c r="A63" s="1" t="s">
        <v>523</v>
      </c>
      <c r="B63" s="1" t="s">
        <v>14</v>
      </c>
      <c r="C63" s="1" t="s">
        <v>14</v>
      </c>
      <c r="D63" s="1" t="s">
        <v>14</v>
      </c>
      <c r="E63" s="1" t="s">
        <v>14</v>
      </c>
      <c r="F63" s="2" t="s">
        <v>14</v>
      </c>
      <c r="G63" s="1" t="s">
        <v>14</v>
      </c>
      <c r="H63" s="1" t="s">
        <v>14</v>
      </c>
      <c r="I63" s="1" t="s">
        <v>14</v>
      </c>
      <c r="J63" s="1" t="s">
        <v>14</v>
      </c>
      <c r="K63" s="4">
        <v>0</v>
      </c>
      <c r="L63" s="3">
        <f t="shared" si="0"/>
        <v>0</v>
      </c>
      <c r="M63" s="5">
        <v>0</v>
      </c>
      <c r="N63" s="6" t="e">
        <f t="shared" si="1"/>
        <v>#DIV/0!</v>
      </c>
      <c r="O63" s="4">
        <v>168</v>
      </c>
      <c r="P63" s="3">
        <f t="shared" si="2"/>
        <v>168</v>
      </c>
      <c r="Q63" s="5">
        <v>8</v>
      </c>
      <c r="R63" s="6">
        <f t="shared" si="3"/>
        <v>4.7619047619047616E-2</v>
      </c>
    </row>
    <row r="64" spans="1:18" x14ac:dyDescent="0.25">
      <c r="A64" s="1" t="s">
        <v>524</v>
      </c>
      <c r="B64" s="1" t="s">
        <v>14</v>
      </c>
      <c r="C64" s="1" t="s">
        <v>14</v>
      </c>
      <c r="D64" s="1" t="s">
        <v>14</v>
      </c>
      <c r="E64" s="1" t="s">
        <v>14</v>
      </c>
      <c r="F64" s="2" t="s">
        <v>14</v>
      </c>
      <c r="G64" s="1" t="s">
        <v>14</v>
      </c>
      <c r="H64" s="1" t="s">
        <v>14</v>
      </c>
      <c r="I64" s="1" t="s">
        <v>14</v>
      </c>
      <c r="J64" s="1" t="s">
        <v>14</v>
      </c>
      <c r="K64" s="4">
        <v>0</v>
      </c>
      <c r="L64" s="3">
        <f t="shared" si="0"/>
        <v>0</v>
      </c>
      <c r="M64" s="5">
        <v>0</v>
      </c>
      <c r="N64" s="6" t="e">
        <f t="shared" si="1"/>
        <v>#DIV/0!</v>
      </c>
      <c r="O64" s="4">
        <v>168</v>
      </c>
      <c r="P64" s="3">
        <f t="shared" si="2"/>
        <v>168</v>
      </c>
      <c r="Q64" s="5">
        <v>5</v>
      </c>
      <c r="R64" s="6">
        <f t="shared" si="3"/>
        <v>2.976190476190476E-2</v>
      </c>
    </row>
    <row r="65" spans="1:18" x14ac:dyDescent="0.25">
      <c r="A65" s="1" t="s">
        <v>525</v>
      </c>
      <c r="B65" s="1" t="s">
        <v>14</v>
      </c>
      <c r="C65" s="1" t="s">
        <v>14</v>
      </c>
      <c r="D65" s="1" t="s">
        <v>14</v>
      </c>
      <c r="E65" s="1" t="s">
        <v>14</v>
      </c>
      <c r="F65" s="2" t="s">
        <v>14</v>
      </c>
      <c r="G65" s="1" t="s">
        <v>14</v>
      </c>
      <c r="H65" s="1" t="s">
        <v>14</v>
      </c>
      <c r="I65" s="1" t="s">
        <v>14</v>
      </c>
      <c r="J65" s="1" t="s">
        <v>14</v>
      </c>
      <c r="K65" s="4">
        <v>0</v>
      </c>
      <c r="L65" s="3">
        <f t="shared" si="0"/>
        <v>0</v>
      </c>
      <c r="M65" s="5">
        <v>0</v>
      </c>
      <c r="N65" s="6" t="e">
        <f t="shared" si="1"/>
        <v>#DIV/0!</v>
      </c>
      <c r="O65" s="4">
        <v>224</v>
      </c>
      <c r="P65" s="3">
        <f t="shared" si="2"/>
        <v>224</v>
      </c>
      <c r="Q65" s="5">
        <v>6</v>
      </c>
      <c r="R65" s="6">
        <f t="shared" si="3"/>
        <v>2.6785714285714284E-2</v>
      </c>
    </row>
    <row r="66" spans="1:18" x14ac:dyDescent="0.25">
      <c r="A66" s="1" t="s">
        <v>526</v>
      </c>
      <c r="B66" s="1" t="s">
        <v>14</v>
      </c>
      <c r="C66" s="1" t="s">
        <v>14</v>
      </c>
      <c r="D66" s="1" t="s">
        <v>14</v>
      </c>
      <c r="E66" s="1" t="s">
        <v>14</v>
      </c>
      <c r="F66" s="2" t="s">
        <v>14</v>
      </c>
      <c r="G66" s="1" t="s">
        <v>14</v>
      </c>
      <c r="H66" s="1" t="s">
        <v>14</v>
      </c>
      <c r="I66" s="1" t="s">
        <v>14</v>
      </c>
      <c r="J66" s="1" t="s">
        <v>14</v>
      </c>
      <c r="K66" s="4">
        <v>0</v>
      </c>
      <c r="L66" s="3">
        <f t="shared" si="0"/>
        <v>0</v>
      </c>
      <c r="M66" s="5">
        <v>0</v>
      </c>
      <c r="N66" s="6" t="e">
        <f t="shared" si="1"/>
        <v>#DIV/0!</v>
      </c>
      <c r="O66" s="4">
        <v>89</v>
      </c>
      <c r="P66" s="3">
        <f t="shared" si="2"/>
        <v>89</v>
      </c>
      <c r="Q66" s="5">
        <v>4</v>
      </c>
      <c r="R66" s="6">
        <f t="shared" si="3"/>
        <v>4.49438202247191E-2</v>
      </c>
    </row>
    <row r="67" spans="1:18" x14ac:dyDescent="0.25">
      <c r="A67" s="1" t="s">
        <v>65</v>
      </c>
      <c r="B67" s="1" t="s">
        <v>14</v>
      </c>
      <c r="C67" s="1" t="s">
        <v>14</v>
      </c>
      <c r="D67" s="1" t="s">
        <v>14</v>
      </c>
      <c r="E67" s="1" t="s">
        <v>14</v>
      </c>
      <c r="F67" s="2" t="s">
        <v>14</v>
      </c>
      <c r="G67" s="1" t="s">
        <v>14</v>
      </c>
      <c r="H67" s="1" t="s">
        <v>14</v>
      </c>
      <c r="I67" s="1" t="s">
        <v>14</v>
      </c>
      <c r="J67" s="1" t="s">
        <v>14</v>
      </c>
      <c r="K67" s="4">
        <v>1944</v>
      </c>
      <c r="L67" s="3">
        <f t="shared" si="0"/>
        <v>1944</v>
      </c>
      <c r="M67" s="5">
        <v>23</v>
      </c>
      <c r="N67" s="6">
        <f t="shared" si="1"/>
        <v>1.1831275720164609E-2</v>
      </c>
      <c r="O67" s="4">
        <v>0</v>
      </c>
      <c r="P67" s="3">
        <f t="shared" si="2"/>
        <v>1921</v>
      </c>
      <c r="Q67" s="5">
        <v>167</v>
      </c>
      <c r="R67" s="6">
        <f t="shared" si="3"/>
        <v>8.6933888599687661E-2</v>
      </c>
    </row>
    <row r="68" spans="1:18" x14ac:dyDescent="0.25">
      <c r="A68" s="1" t="s">
        <v>66</v>
      </c>
      <c r="B68" s="1" t="s">
        <v>14</v>
      </c>
      <c r="C68" s="1" t="s">
        <v>14</v>
      </c>
      <c r="D68" s="1" t="s">
        <v>14</v>
      </c>
      <c r="E68" s="1" t="s">
        <v>14</v>
      </c>
      <c r="F68" s="2" t="s">
        <v>14</v>
      </c>
      <c r="G68" s="1" t="s">
        <v>14</v>
      </c>
      <c r="H68" s="1" t="s">
        <v>14</v>
      </c>
      <c r="I68" s="1" t="s">
        <v>14</v>
      </c>
      <c r="J68" s="1" t="s">
        <v>14</v>
      </c>
      <c r="K68" s="4">
        <v>196</v>
      </c>
      <c r="L68" s="3">
        <f t="shared" ref="L68:L106" si="4">K68</f>
        <v>196</v>
      </c>
      <c r="M68" s="5">
        <v>17</v>
      </c>
      <c r="N68" s="6">
        <f t="shared" ref="N68:N106" si="5">M68/L68</f>
        <v>8.673469387755102E-2</v>
      </c>
      <c r="O68" s="4">
        <v>0</v>
      </c>
      <c r="P68" s="3">
        <f t="shared" ref="P68:P106" si="6">O68+L68-M68</f>
        <v>179</v>
      </c>
      <c r="Q68" s="5">
        <v>28</v>
      </c>
      <c r="R68" s="6">
        <f t="shared" ref="R68:R106" si="7">Q68/P68</f>
        <v>0.15642458100558659</v>
      </c>
    </row>
    <row r="69" spans="1:18" x14ac:dyDescent="0.25">
      <c r="A69" s="1" t="s">
        <v>67</v>
      </c>
      <c r="B69" s="1" t="s">
        <v>14</v>
      </c>
      <c r="C69" s="1" t="s">
        <v>14</v>
      </c>
      <c r="D69" s="1" t="s">
        <v>14</v>
      </c>
      <c r="E69" s="1" t="s">
        <v>14</v>
      </c>
      <c r="F69" s="2" t="s">
        <v>14</v>
      </c>
      <c r="G69" s="1" t="s">
        <v>14</v>
      </c>
      <c r="H69" s="1" t="s">
        <v>14</v>
      </c>
      <c r="I69" s="1" t="s">
        <v>14</v>
      </c>
      <c r="J69" s="1" t="s">
        <v>14</v>
      </c>
      <c r="K69" s="4">
        <v>158</v>
      </c>
      <c r="L69" s="3">
        <f t="shared" si="4"/>
        <v>158</v>
      </c>
      <c r="M69" s="5">
        <v>14</v>
      </c>
      <c r="N69" s="6">
        <f t="shared" si="5"/>
        <v>8.8607594936708861E-2</v>
      </c>
      <c r="O69" s="4">
        <v>0</v>
      </c>
      <c r="P69" s="3">
        <f t="shared" si="6"/>
        <v>144</v>
      </c>
      <c r="Q69" s="5">
        <v>26</v>
      </c>
      <c r="R69" s="6">
        <f t="shared" si="7"/>
        <v>0.18055555555555555</v>
      </c>
    </row>
    <row r="70" spans="1:18" x14ac:dyDescent="0.25">
      <c r="A70" s="1" t="s">
        <v>68</v>
      </c>
      <c r="B70" s="1" t="s">
        <v>14</v>
      </c>
      <c r="C70" s="1" t="s">
        <v>14</v>
      </c>
      <c r="D70" s="1" t="s">
        <v>14</v>
      </c>
      <c r="E70" s="1" t="s">
        <v>14</v>
      </c>
      <c r="F70" s="2" t="s">
        <v>14</v>
      </c>
      <c r="G70" s="1" t="s">
        <v>14</v>
      </c>
      <c r="H70" s="1" t="s">
        <v>14</v>
      </c>
      <c r="I70" s="1" t="s">
        <v>14</v>
      </c>
      <c r="J70" s="1" t="s">
        <v>14</v>
      </c>
      <c r="K70" s="4">
        <v>196</v>
      </c>
      <c r="L70" s="3">
        <f t="shared" si="4"/>
        <v>196</v>
      </c>
      <c r="M70" s="5">
        <v>13</v>
      </c>
      <c r="N70" s="6">
        <f t="shared" si="5"/>
        <v>6.6326530612244902E-2</v>
      </c>
      <c r="O70" s="4">
        <v>0</v>
      </c>
      <c r="P70" s="3">
        <f t="shared" si="6"/>
        <v>183</v>
      </c>
      <c r="Q70" s="5">
        <v>27</v>
      </c>
      <c r="R70" s="6">
        <f t="shared" si="7"/>
        <v>0.14754098360655737</v>
      </c>
    </row>
    <row r="71" spans="1:18" x14ac:dyDescent="0.25">
      <c r="A71" s="1" t="s">
        <v>69</v>
      </c>
      <c r="B71" s="1" t="s">
        <v>14</v>
      </c>
      <c r="C71" s="1" t="s">
        <v>14</v>
      </c>
      <c r="D71" s="1" t="s">
        <v>14</v>
      </c>
      <c r="E71" s="1" t="s">
        <v>14</v>
      </c>
      <c r="F71" s="2" t="s">
        <v>14</v>
      </c>
      <c r="G71" s="1" t="s">
        <v>14</v>
      </c>
      <c r="H71" s="1" t="s">
        <v>14</v>
      </c>
      <c r="I71" s="1" t="s">
        <v>14</v>
      </c>
      <c r="J71" s="1" t="s">
        <v>14</v>
      </c>
      <c r="K71" s="4">
        <v>158</v>
      </c>
      <c r="L71" s="3">
        <f t="shared" si="4"/>
        <v>158</v>
      </c>
      <c r="M71" s="5">
        <v>9</v>
      </c>
      <c r="N71" s="6">
        <f t="shared" si="5"/>
        <v>5.6962025316455694E-2</v>
      </c>
      <c r="O71" s="4">
        <v>0</v>
      </c>
      <c r="P71" s="3">
        <f t="shared" si="6"/>
        <v>149</v>
      </c>
      <c r="Q71" s="5">
        <v>32</v>
      </c>
      <c r="R71" s="6">
        <f t="shared" si="7"/>
        <v>0.21476510067114093</v>
      </c>
    </row>
    <row r="72" spans="1:18" x14ac:dyDescent="0.25">
      <c r="A72" s="1" t="s">
        <v>70</v>
      </c>
      <c r="B72" s="1" t="s">
        <v>14</v>
      </c>
      <c r="C72" s="1" t="s">
        <v>14</v>
      </c>
      <c r="D72" s="1" t="s">
        <v>14</v>
      </c>
      <c r="E72" s="1" t="s">
        <v>14</v>
      </c>
      <c r="F72" s="2" t="s">
        <v>14</v>
      </c>
      <c r="G72" s="1" t="s">
        <v>14</v>
      </c>
      <c r="H72" s="1" t="s">
        <v>14</v>
      </c>
      <c r="I72" s="1" t="s">
        <v>14</v>
      </c>
      <c r="J72" s="1" t="s">
        <v>14</v>
      </c>
      <c r="K72" s="4">
        <v>160</v>
      </c>
      <c r="L72" s="3">
        <f t="shared" si="4"/>
        <v>160</v>
      </c>
      <c r="M72" s="5">
        <v>4</v>
      </c>
      <c r="N72" s="6">
        <f t="shared" si="5"/>
        <v>2.5000000000000001E-2</v>
      </c>
      <c r="O72" s="4">
        <v>0</v>
      </c>
      <c r="P72" s="3">
        <f t="shared" si="6"/>
        <v>156</v>
      </c>
      <c r="Q72" s="5">
        <v>15</v>
      </c>
      <c r="R72" s="6">
        <f t="shared" si="7"/>
        <v>9.6153846153846159E-2</v>
      </c>
    </row>
    <row r="73" spans="1:18" x14ac:dyDescent="0.25">
      <c r="A73" s="1" t="s">
        <v>71</v>
      </c>
      <c r="B73" s="1" t="s">
        <v>14</v>
      </c>
      <c r="C73" s="1" t="s">
        <v>14</v>
      </c>
      <c r="D73" s="1" t="s">
        <v>14</v>
      </c>
      <c r="E73" s="1" t="s">
        <v>14</v>
      </c>
      <c r="F73" s="2" t="s">
        <v>14</v>
      </c>
      <c r="G73" s="1" t="s">
        <v>14</v>
      </c>
      <c r="H73" s="1" t="s">
        <v>14</v>
      </c>
      <c r="I73" s="1" t="s">
        <v>14</v>
      </c>
      <c r="J73" s="1" t="s">
        <v>14</v>
      </c>
      <c r="K73" s="4">
        <v>136</v>
      </c>
      <c r="L73" s="3">
        <f t="shared" si="4"/>
        <v>136</v>
      </c>
      <c r="M73" s="5">
        <v>2</v>
      </c>
      <c r="N73" s="6">
        <f t="shared" si="5"/>
        <v>1.4705882352941176E-2</v>
      </c>
      <c r="O73" s="4">
        <v>0</v>
      </c>
      <c r="P73" s="3">
        <f t="shared" si="6"/>
        <v>134</v>
      </c>
      <c r="Q73" s="5">
        <v>10</v>
      </c>
      <c r="R73" s="6">
        <f t="shared" si="7"/>
        <v>7.4626865671641784E-2</v>
      </c>
    </row>
    <row r="74" spans="1:18" x14ac:dyDescent="0.25">
      <c r="A74" s="1" t="s">
        <v>72</v>
      </c>
      <c r="B74" s="1" t="s">
        <v>14</v>
      </c>
      <c r="C74" s="1" t="s">
        <v>14</v>
      </c>
      <c r="D74" s="1" t="s">
        <v>14</v>
      </c>
      <c r="E74" s="1" t="s">
        <v>14</v>
      </c>
      <c r="F74" s="2" t="s">
        <v>14</v>
      </c>
      <c r="G74" s="1" t="s">
        <v>14</v>
      </c>
      <c r="H74" s="1" t="s">
        <v>14</v>
      </c>
      <c r="I74" s="1" t="s">
        <v>14</v>
      </c>
      <c r="J74" s="1" t="s">
        <v>14</v>
      </c>
      <c r="K74" s="4">
        <v>134</v>
      </c>
      <c r="L74" s="3">
        <f t="shared" si="4"/>
        <v>134</v>
      </c>
      <c r="M74" s="5">
        <v>6</v>
      </c>
      <c r="N74" s="6">
        <f t="shared" si="5"/>
        <v>4.4776119402985072E-2</v>
      </c>
      <c r="O74" s="4">
        <v>0</v>
      </c>
      <c r="P74" s="3">
        <f t="shared" si="6"/>
        <v>128</v>
      </c>
      <c r="Q74" s="5">
        <v>13</v>
      </c>
      <c r="R74" s="6">
        <f t="shared" si="7"/>
        <v>0.1015625</v>
      </c>
    </row>
    <row r="75" spans="1:18" x14ac:dyDescent="0.25">
      <c r="A75" s="1" t="s">
        <v>73</v>
      </c>
      <c r="B75" s="1" t="s">
        <v>14</v>
      </c>
      <c r="C75" s="1" t="s">
        <v>14</v>
      </c>
      <c r="D75" s="1" t="s">
        <v>14</v>
      </c>
      <c r="E75" s="1" t="s">
        <v>14</v>
      </c>
      <c r="F75" s="2" t="s">
        <v>14</v>
      </c>
      <c r="G75" s="1" t="s">
        <v>14</v>
      </c>
      <c r="H75" s="1" t="s">
        <v>14</v>
      </c>
      <c r="I75" s="1" t="s">
        <v>14</v>
      </c>
      <c r="J75" s="1" t="s">
        <v>14</v>
      </c>
      <c r="K75" s="4">
        <v>138</v>
      </c>
      <c r="L75" s="3">
        <f t="shared" si="4"/>
        <v>138</v>
      </c>
      <c r="M75" s="5">
        <v>13</v>
      </c>
      <c r="N75" s="6">
        <f t="shared" si="5"/>
        <v>9.420289855072464E-2</v>
      </c>
      <c r="O75" s="4">
        <v>0</v>
      </c>
      <c r="P75" s="3">
        <f t="shared" si="6"/>
        <v>125</v>
      </c>
      <c r="Q75" s="5">
        <v>25</v>
      </c>
      <c r="R75" s="6">
        <f t="shared" si="7"/>
        <v>0.2</v>
      </c>
    </row>
    <row r="76" spans="1:18" x14ac:dyDescent="0.25">
      <c r="A76" s="1" t="s">
        <v>74</v>
      </c>
      <c r="B76" s="1" t="s">
        <v>14</v>
      </c>
      <c r="C76" s="1" t="s">
        <v>14</v>
      </c>
      <c r="D76" s="1" t="s">
        <v>14</v>
      </c>
      <c r="E76" s="1" t="s">
        <v>14</v>
      </c>
      <c r="F76" s="2" t="s">
        <v>14</v>
      </c>
      <c r="G76" s="1" t="s">
        <v>14</v>
      </c>
      <c r="H76" s="1" t="s">
        <v>14</v>
      </c>
      <c r="I76" s="1" t="s">
        <v>14</v>
      </c>
      <c r="J76" s="1" t="s">
        <v>14</v>
      </c>
      <c r="K76" s="4">
        <v>138</v>
      </c>
      <c r="L76" s="3">
        <f t="shared" si="4"/>
        <v>138</v>
      </c>
      <c r="M76" s="5">
        <v>4</v>
      </c>
      <c r="N76" s="6">
        <f t="shared" si="5"/>
        <v>2.8985507246376812E-2</v>
      </c>
      <c r="O76" s="4">
        <v>0</v>
      </c>
      <c r="P76" s="3">
        <f t="shared" si="6"/>
        <v>134</v>
      </c>
      <c r="Q76" s="5">
        <v>16</v>
      </c>
      <c r="R76" s="6">
        <f t="shared" si="7"/>
        <v>0.11940298507462686</v>
      </c>
    </row>
    <row r="77" spans="1:18" x14ac:dyDescent="0.25">
      <c r="A77" s="1" t="s">
        <v>75</v>
      </c>
      <c r="B77" s="1" t="s">
        <v>14</v>
      </c>
      <c r="C77" s="1" t="s">
        <v>14</v>
      </c>
      <c r="D77" s="1" t="s">
        <v>14</v>
      </c>
      <c r="E77" s="1" t="s">
        <v>14</v>
      </c>
      <c r="F77" s="2" t="s">
        <v>14</v>
      </c>
      <c r="G77" s="1" t="s">
        <v>14</v>
      </c>
      <c r="H77" s="1" t="s">
        <v>14</v>
      </c>
      <c r="I77" s="1" t="s">
        <v>14</v>
      </c>
      <c r="J77" s="1" t="s">
        <v>14</v>
      </c>
      <c r="K77" s="4">
        <v>195</v>
      </c>
      <c r="L77" s="3">
        <f t="shared" si="4"/>
        <v>195</v>
      </c>
      <c r="M77" s="5">
        <v>6</v>
      </c>
      <c r="N77" s="6">
        <f t="shared" si="5"/>
        <v>3.0769230769230771E-2</v>
      </c>
      <c r="O77" s="4">
        <v>0</v>
      </c>
      <c r="P77" s="3">
        <f t="shared" si="6"/>
        <v>189</v>
      </c>
      <c r="Q77" s="5">
        <v>26</v>
      </c>
      <c r="R77" s="6">
        <f t="shared" si="7"/>
        <v>0.13756613756613756</v>
      </c>
    </row>
    <row r="78" spans="1:18" x14ac:dyDescent="0.25">
      <c r="A78" s="1" t="s">
        <v>76</v>
      </c>
      <c r="B78" s="1" t="s">
        <v>14</v>
      </c>
      <c r="C78" s="1" t="s">
        <v>14</v>
      </c>
      <c r="D78" s="1" t="s">
        <v>14</v>
      </c>
      <c r="E78" s="1" t="s">
        <v>14</v>
      </c>
      <c r="F78" s="2" t="s">
        <v>14</v>
      </c>
      <c r="G78" s="1" t="s">
        <v>14</v>
      </c>
      <c r="H78" s="1" t="s">
        <v>14</v>
      </c>
      <c r="I78" s="1" t="s">
        <v>14</v>
      </c>
      <c r="J78" s="1" t="s">
        <v>14</v>
      </c>
      <c r="K78" s="4">
        <v>196</v>
      </c>
      <c r="L78" s="3">
        <f t="shared" si="4"/>
        <v>196</v>
      </c>
      <c r="M78" s="5">
        <v>13</v>
      </c>
      <c r="N78" s="6">
        <f t="shared" si="5"/>
        <v>6.6326530612244902E-2</v>
      </c>
      <c r="O78" s="4">
        <v>0</v>
      </c>
      <c r="P78" s="3">
        <f t="shared" si="6"/>
        <v>183</v>
      </c>
      <c r="Q78" s="5">
        <v>27</v>
      </c>
      <c r="R78" s="6">
        <f t="shared" si="7"/>
        <v>0.14754098360655737</v>
      </c>
    </row>
    <row r="79" spans="1:18" x14ac:dyDescent="0.25">
      <c r="A79" s="1" t="s">
        <v>77</v>
      </c>
      <c r="B79" s="1" t="s">
        <v>14</v>
      </c>
      <c r="C79" s="1" t="s">
        <v>14</v>
      </c>
      <c r="D79" s="1" t="s">
        <v>14</v>
      </c>
      <c r="E79" s="1" t="s">
        <v>14</v>
      </c>
      <c r="F79" s="2" t="s">
        <v>14</v>
      </c>
      <c r="G79" s="1" t="s">
        <v>14</v>
      </c>
      <c r="H79" s="1" t="s">
        <v>14</v>
      </c>
      <c r="I79" s="1" t="s">
        <v>14</v>
      </c>
      <c r="J79" s="1" t="s">
        <v>14</v>
      </c>
      <c r="K79" s="4">
        <v>79</v>
      </c>
      <c r="L79" s="3">
        <f t="shared" si="4"/>
        <v>79</v>
      </c>
      <c r="M79" s="5">
        <v>5</v>
      </c>
      <c r="N79" s="6">
        <f t="shared" si="5"/>
        <v>6.3291139240506333E-2</v>
      </c>
      <c r="O79" s="4">
        <v>0</v>
      </c>
      <c r="P79" s="3">
        <f t="shared" si="6"/>
        <v>74</v>
      </c>
      <c r="Q79" s="5">
        <v>12</v>
      </c>
      <c r="R79" s="6">
        <f t="shared" si="7"/>
        <v>0.16216216216216217</v>
      </c>
    </row>
    <row r="80" spans="1:18" x14ac:dyDescent="0.25">
      <c r="A80" s="1" t="s">
        <v>78</v>
      </c>
      <c r="B80" s="1" t="s">
        <v>14</v>
      </c>
      <c r="C80" s="1" t="s">
        <v>14</v>
      </c>
      <c r="D80" s="1" t="s">
        <v>14</v>
      </c>
      <c r="E80" s="1" t="s">
        <v>14</v>
      </c>
      <c r="F80" s="2" t="s">
        <v>14</v>
      </c>
      <c r="G80" s="1" t="s">
        <v>14</v>
      </c>
      <c r="H80" s="1" t="s">
        <v>14</v>
      </c>
      <c r="I80" s="1" t="s">
        <v>14</v>
      </c>
      <c r="J80" s="1" t="s">
        <v>14</v>
      </c>
      <c r="K80" s="4">
        <v>98</v>
      </c>
      <c r="L80" s="3">
        <f t="shared" si="4"/>
        <v>98</v>
      </c>
      <c r="M80" s="5">
        <v>1</v>
      </c>
      <c r="N80" s="6">
        <f t="shared" si="5"/>
        <v>1.020408163265306E-2</v>
      </c>
      <c r="O80" s="4">
        <v>0</v>
      </c>
      <c r="P80" s="3">
        <f t="shared" si="6"/>
        <v>97</v>
      </c>
      <c r="Q80" s="5">
        <v>6</v>
      </c>
      <c r="R80" s="6">
        <f t="shared" si="7"/>
        <v>6.1855670103092786E-2</v>
      </c>
    </row>
    <row r="81" spans="1:18" x14ac:dyDescent="0.25">
      <c r="A81" s="1" t="s">
        <v>79</v>
      </c>
      <c r="B81" s="1" t="s">
        <v>14</v>
      </c>
      <c r="C81" s="1" t="s">
        <v>14</v>
      </c>
      <c r="D81" s="1" t="s">
        <v>14</v>
      </c>
      <c r="E81" s="1" t="s">
        <v>14</v>
      </c>
      <c r="F81" s="2" t="s">
        <v>14</v>
      </c>
      <c r="G81" s="1" t="s">
        <v>14</v>
      </c>
      <c r="H81" s="1" t="s">
        <v>14</v>
      </c>
      <c r="I81" s="1" t="s">
        <v>14</v>
      </c>
      <c r="J81" s="1" t="s">
        <v>14</v>
      </c>
      <c r="K81" s="4">
        <v>138</v>
      </c>
      <c r="L81" s="3">
        <f t="shared" si="4"/>
        <v>138</v>
      </c>
      <c r="M81" s="5">
        <v>4</v>
      </c>
      <c r="N81" s="6">
        <f t="shared" si="5"/>
        <v>2.8985507246376812E-2</v>
      </c>
      <c r="O81" s="4">
        <v>0</v>
      </c>
      <c r="P81" s="3">
        <f t="shared" si="6"/>
        <v>134</v>
      </c>
      <c r="Q81" s="5">
        <v>10</v>
      </c>
      <c r="R81" s="6">
        <f t="shared" si="7"/>
        <v>7.4626865671641784E-2</v>
      </c>
    </row>
    <row r="82" spans="1:18" x14ac:dyDescent="0.25">
      <c r="A82" s="1" t="s">
        <v>80</v>
      </c>
      <c r="B82" s="1" t="s">
        <v>14</v>
      </c>
      <c r="C82" s="1" t="s">
        <v>14</v>
      </c>
      <c r="D82" s="1" t="s">
        <v>14</v>
      </c>
      <c r="E82" s="1" t="s">
        <v>14</v>
      </c>
      <c r="F82" s="2" t="s">
        <v>14</v>
      </c>
      <c r="G82" s="1" t="s">
        <v>14</v>
      </c>
      <c r="H82" s="1" t="s">
        <v>14</v>
      </c>
      <c r="I82" s="1" t="s">
        <v>14</v>
      </c>
      <c r="J82" s="1" t="s">
        <v>14</v>
      </c>
      <c r="K82" s="4">
        <v>196</v>
      </c>
      <c r="L82" s="3">
        <f t="shared" si="4"/>
        <v>196</v>
      </c>
      <c r="M82" s="5">
        <v>9</v>
      </c>
      <c r="N82" s="6">
        <f t="shared" si="5"/>
        <v>4.5918367346938778E-2</v>
      </c>
      <c r="O82" s="4">
        <v>0</v>
      </c>
      <c r="P82" s="3">
        <f t="shared" si="6"/>
        <v>187</v>
      </c>
      <c r="Q82" s="5">
        <v>15</v>
      </c>
      <c r="R82" s="6">
        <f t="shared" si="7"/>
        <v>8.0213903743315509E-2</v>
      </c>
    </row>
    <row r="83" spans="1:18" x14ac:dyDescent="0.25">
      <c r="A83" s="1" t="s">
        <v>81</v>
      </c>
      <c r="B83" s="1" t="s">
        <v>14</v>
      </c>
      <c r="C83" s="1" t="s">
        <v>14</v>
      </c>
      <c r="D83" s="1" t="s">
        <v>14</v>
      </c>
      <c r="E83" s="1" t="s">
        <v>14</v>
      </c>
      <c r="F83" s="2" t="s">
        <v>14</v>
      </c>
      <c r="G83" s="1" t="s">
        <v>14</v>
      </c>
      <c r="H83" s="1" t="s">
        <v>14</v>
      </c>
      <c r="I83" s="1" t="s">
        <v>14</v>
      </c>
      <c r="J83" s="1" t="s">
        <v>14</v>
      </c>
      <c r="K83" s="4">
        <v>119</v>
      </c>
      <c r="L83" s="3">
        <f t="shared" si="4"/>
        <v>119</v>
      </c>
      <c r="M83" s="5">
        <v>7</v>
      </c>
      <c r="N83" s="6">
        <f t="shared" si="5"/>
        <v>5.8823529411764705E-2</v>
      </c>
      <c r="O83" s="4">
        <v>0</v>
      </c>
      <c r="P83" s="3">
        <f t="shared" si="6"/>
        <v>112</v>
      </c>
      <c r="Q83" s="5">
        <v>16</v>
      </c>
      <c r="R83" s="6">
        <f t="shared" si="7"/>
        <v>0.14285714285714285</v>
      </c>
    </row>
    <row r="84" spans="1:18" x14ac:dyDescent="0.25">
      <c r="A84" s="1" t="s">
        <v>82</v>
      </c>
      <c r="B84" s="1" t="s">
        <v>14</v>
      </c>
      <c r="C84" s="1" t="s">
        <v>14</v>
      </c>
      <c r="D84" s="1" t="s">
        <v>14</v>
      </c>
      <c r="E84" s="1" t="s">
        <v>14</v>
      </c>
      <c r="F84" s="2" t="s">
        <v>14</v>
      </c>
      <c r="G84" s="1" t="s">
        <v>14</v>
      </c>
      <c r="H84" s="1" t="s">
        <v>14</v>
      </c>
      <c r="I84" s="1" t="s">
        <v>14</v>
      </c>
      <c r="J84" s="1" t="s">
        <v>14</v>
      </c>
      <c r="K84" s="4">
        <v>196</v>
      </c>
      <c r="L84" s="3">
        <f t="shared" si="4"/>
        <v>196</v>
      </c>
      <c r="M84" s="5">
        <v>14</v>
      </c>
      <c r="N84" s="6">
        <f t="shared" si="5"/>
        <v>7.1428571428571425E-2</v>
      </c>
      <c r="O84" s="4">
        <v>0</v>
      </c>
      <c r="P84" s="3">
        <f t="shared" si="6"/>
        <v>182</v>
      </c>
      <c r="Q84" s="5">
        <v>41</v>
      </c>
      <c r="R84" s="6">
        <f t="shared" si="7"/>
        <v>0.22527472527472528</v>
      </c>
    </row>
    <row r="85" spans="1:18" x14ac:dyDescent="0.25">
      <c r="A85" s="1" t="s">
        <v>83</v>
      </c>
      <c r="B85" s="1" t="s">
        <v>14</v>
      </c>
      <c r="C85" s="1" t="s">
        <v>14</v>
      </c>
      <c r="D85" s="1" t="s">
        <v>14</v>
      </c>
      <c r="E85" s="1" t="s">
        <v>14</v>
      </c>
      <c r="F85" s="2" t="s">
        <v>14</v>
      </c>
      <c r="G85" s="1" t="s">
        <v>14</v>
      </c>
      <c r="H85" s="1" t="s">
        <v>14</v>
      </c>
      <c r="I85" s="1" t="s">
        <v>14</v>
      </c>
      <c r="J85" s="1" t="s">
        <v>14</v>
      </c>
      <c r="K85" s="4">
        <v>217</v>
      </c>
      <c r="L85" s="3">
        <f t="shared" si="4"/>
        <v>217</v>
      </c>
      <c r="M85" s="5">
        <v>10</v>
      </c>
      <c r="N85" s="6">
        <f t="shared" si="5"/>
        <v>4.6082949308755762E-2</v>
      </c>
      <c r="O85" s="4">
        <v>0</v>
      </c>
      <c r="P85" s="3">
        <f t="shared" si="6"/>
        <v>207</v>
      </c>
      <c r="Q85" s="5">
        <v>20</v>
      </c>
      <c r="R85" s="6">
        <f t="shared" si="7"/>
        <v>9.6618357487922704E-2</v>
      </c>
    </row>
    <row r="86" spans="1:18" x14ac:dyDescent="0.25">
      <c r="A86" s="1" t="s">
        <v>84</v>
      </c>
      <c r="B86" s="1" t="s">
        <v>14</v>
      </c>
      <c r="C86" s="1" t="s">
        <v>14</v>
      </c>
      <c r="D86" s="1" t="s">
        <v>14</v>
      </c>
      <c r="E86" s="1" t="s">
        <v>14</v>
      </c>
      <c r="F86" s="2" t="s">
        <v>14</v>
      </c>
      <c r="G86" s="1" t="s">
        <v>14</v>
      </c>
      <c r="H86" s="1" t="s">
        <v>14</v>
      </c>
      <c r="I86" s="1" t="s">
        <v>14</v>
      </c>
      <c r="J86" s="1" t="s">
        <v>14</v>
      </c>
      <c r="K86" s="4">
        <v>215</v>
      </c>
      <c r="L86" s="3">
        <f t="shared" si="4"/>
        <v>215</v>
      </c>
      <c r="M86" s="5">
        <v>3</v>
      </c>
      <c r="N86" s="6">
        <f t="shared" si="5"/>
        <v>1.3953488372093023E-2</v>
      </c>
      <c r="O86" s="4">
        <v>0</v>
      </c>
      <c r="P86" s="3">
        <f t="shared" si="6"/>
        <v>212</v>
      </c>
      <c r="Q86" s="5">
        <v>16</v>
      </c>
      <c r="R86" s="6">
        <f t="shared" si="7"/>
        <v>7.5471698113207544E-2</v>
      </c>
    </row>
    <row r="87" spans="1:18" x14ac:dyDescent="0.25">
      <c r="A87" s="1" t="s">
        <v>85</v>
      </c>
      <c r="B87" s="1" t="s">
        <v>14</v>
      </c>
      <c r="C87" s="1" t="s">
        <v>14</v>
      </c>
      <c r="D87" s="1" t="s">
        <v>14</v>
      </c>
      <c r="E87" s="1" t="s">
        <v>14</v>
      </c>
      <c r="F87" s="2" t="s">
        <v>14</v>
      </c>
      <c r="G87" s="1" t="s">
        <v>14</v>
      </c>
      <c r="H87" s="1" t="s">
        <v>14</v>
      </c>
      <c r="I87" s="1" t="s">
        <v>14</v>
      </c>
      <c r="J87" s="1" t="s">
        <v>14</v>
      </c>
      <c r="K87" s="4">
        <v>213</v>
      </c>
      <c r="L87" s="3">
        <f t="shared" si="4"/>
        <v>213</v>
      </c>
      <c r="M87" s="5">
        <v>4</v>
      </c>
      <c r="N87" s="6">
        <f t="shared" si="5"/>
        <v>1.8779342723004695E-2</v>
      </c>
      <c r="O87" s="4">
        <v>0</v>
      </c>
      <c r="P87" s="3">
        <f t="shared" si="6"/>
        <v>209</v>
      </c>
      <c r="Q87" s="5">
        <v>16</v>
      </c>
      <c r="R87" s="6">
        <f t="shared" si="7"/>
        <v>7.6555023923444973E-2</v>
      </c>
    </row>
    <row r="88" spans="1:18" x14ac:dyDescent="0.25">
      <c r="A88" s="1" t="s">
        <v>86</v>
      </c>
      <c r="B88" s="1" t="s">
        <v>14</v>
      </c>
      <c r="C88" s="1" t="s">
        <v>14</v>
      </c>
      <c r="D88" s="1" t="s">
        <v>14</v>
      </c>
      <c r="E88" s="1" t="s">
        <v>14</v>
      </c>
      <c r="F88" s="2" t="s">
        <v>14</v>
      </c>
      <c r="G88" s="1" t="s">
        <v>14</v>
      </c>
      <c r="H88" s="1" t="s">
        <v>14</v>
      </c>
      <c r="I88" s="1" t="s">
        <v>14</v>
      </c>
      <c r="J88" s="1" t="s">
        <v>14</v>
      </c>
      <c r="K88" s="4">
        <v>216</v>
      </c>
      <c r="L88" s="3">
        <f t="shared" si="4"/>
        <v>216</v>
      </c>
      <c r="M88" s="5">
        <v>8</v>
      </c>
      <c r="N88" s="6">
        <f t="shared" si="5"/>
        <v>3.7037037037037035E-2</v>
      </c>
      <c r="O88" s="4">
        <v>0</v>
      </c>
      <c r="P88" s="3">
        <f t="shared" si="6"/>
        <v>208</v>
      </c>
      <c r="Q88" s="5">
        <v>21</v>
      </c>
      <c r="R88" s="6">
        <f t="shared" si="7"/>
        <v>0.10096153846153846</v>
      </c>
    </row>
    <row r="89" spans="1:18" x14ac:dyDescent="0.25">
      <c r="A89" s="1" t="s">
        <v>87</v>
      </c>
      <c r="B89" s="1" t="s">
        <v>14</v>
      </c>
      <c r="C89" s="1" t="s">
        <v>14</v>
      </c>
      <c r="D89" s="1" t="s">
        <v>14</v>
      </c>
      <c r="E89" s="1" t="s">
        <v>14</v>
      </c>
      <c r="F89" s="2" t="s">
        <v>14</v>
      </c>
      <c r="G89" s="1" t="s">
        <v>14</v>
      </c>
      <c r="H89" s="1" t="s">
        <v>14</v>
      </c>
      <c r="I89" s="1" t="s">
        <v>14</v>
      </c>
      <c r="J89" s="1" t="s">
        <v>14</v>
      </c>
      <c r="K89" s="4">
        <v>176</v>
      </c>
      <c r="L89" s="3">
        <f t="shared" si="4"/>
        <v>176</v>
      </c>
      <c r="M89" s="5">
        <v>6</v>
      </c>
      <c r="N89" s="6">
        <f t="shared" si="5"/>
        <v>3.4090909090909088E-2</v>
      </c>
      <c r="O89" s="4">
        <v>0</v>
      </c>
      <c r="P89" s="3">
        <f t="shared" si="6"/>
        <v>170</v>
      </c>
      <c r="Q89" s="5">
        <v>23</v>
      </c>
      <c r="R89" s="6">
        <f t="shared" si="7"/>
        <v>0.13529411764705881</v>
      </c>
    </row>
    <row r="90" spans="1:18" x14ac:dyDescent="0.25">
      <c r="A90" s="1" t="s">
        <v>88</v>
      </c>
      <c r="B90" s="1" t="s">
        <v>14</v>
      </c>
      <c r="C90" s="1" t="s">
        <v>14</v>
      </c>
      <c r="D90" s="1" t="s">
        <v>14</v>
      </c>
      <c r="E90" s="1" t="s">
        <v>14</v>
      </c>
      <c r="F90" s="2" t="s">
        <v>14</v>
      </c>
      <c r="G90" s="1" t="s">
        <v>14</v>
      </c>
      <c r="H90" s="1" t="s">
        <v>14</v>
      </c>
      <c r="I90" s="1" t="s">
        <v>14</v>
      </c>
      <c r="J90" s="1" t="s">
        <v>14</v>
      </c>
      <c r="K90" s="4">
        <v>141</v>
      </c>
      <c r="L90" s="3">
        <f t="shared" si="4"/>
        <v>141</v>
      </c>
      <c r="M90" s="5">
        <v>6</v>
      </c>
      <c r="N90" s="6">
        <f t="shared" si="5"/>
        <v>4.2553191489361701E-2</v>
      </c>
      <c r="O90" s="4">
        <v>0</v>
      </c>
      <c r="P90" s="3">
        <f t="shared" si="6"/>
        <v>135</v>
      </c>
      <c r="Q90" s="5">
        <v>22</v>
      </c>
      <c r="R90" s="6">
        <f t="shared" si="7"/>
        <v>0.16296296296296298</v>
      </c>
    </row>
    <row r="91" spans="1:18" x14ac:dyDescent="0.25">
      <c r="A91" s="1" t="s">
        <v>89</v>
      </c>
      <c r="B91" s="1" t="s">
        <v>14</v>
      </c>
      <c r="C91" s="1" t="s">
        <v>14</v>
      </c>
      <c r="D91" s="1" t="s">
        <v>14</v>
      </c>
      <c r="E91" s="1" t="s">
        <v>14</v>
      </c>
      <c r="F91" s="2" t="s">
        <v>14</v>
      </c>
      <c r="G91" s="1" t="s">
        <v>14</v>
      </c>
      <c r="H91" s="1" t="s">
        <v>14</v>
      </c>
      <c r="I91" s="1" t="s">
        <v>14</v>
      </c>
      <c r="J91" s="1" t="s">
        <v>14</v>
      </c>
      <c r="K91" s="4">
        <v>237</v>
      </c>
      <c r="L91" s="3">
        <f t="shared" si="4"/>
        <v>237</v>
      </c>
      <c r="M91" s="5">
        <v>8</v>
      </c>
      <c r="N91" s="6">
        <f t="shared" si="5"/>
        <v>3.3755274261603373E-2</v>
      </c>
      <c r="O91" s="4">
        <v>0</v>
      </c>
      <c r="P91" s="3">
        <f t="shared" si="6"/>
        <v>229</v>
      </c>
      <c r="Q91" s="5">
        <v>37</v>
      </c>
      <c r="R91" s="6">
        <f t="shared" si="7"/>
        <v>0.16157205240174671</v>
      </c>
    </row>
    <row r="92" spans="1:18" x14ac:dyDescent="0.25">
      <c r="A92" s="1" t="s">
        <v>527</v>
      </c>
      <c r="B92" s="1" t="s">
        <v>14</v>
      </c>
      <c r="C92" s="1" t="s">
        <v>14</v>
      </c>
      <c r="D92" s="1" t="s">
        <v>14</v>
      </c>
      <c r="E92" s="1" t="s">
        <v>14</v>
      </c>
      <c r="F92" s="2" t="s">
        <v>14</v>
      </c>
      <c r="G92" s="1" t="s">
        <v>14</v>
      </c>
      <c r="H92" s="1" t="s">
        <v>14</v>
      </c>
      <c r="I92" s="1" t="s">
        <v>14</v>
      </c>
      <c r="J92" s="1" t="s">
        <v>14</v>
      </c>
      <c r="K92" s="4">
        <v>0</v>
      </c>
      <c r="L92" s="3">
        <f t="shared" si="4"/>
        <v>0</v>
      </c>
      <c r="M92" s="5">
        <v>0</v>
      </c>
      <c r="N92" s="6" t="e">
        <f t="shared" si="5"/>
        <v>#DIV/0!</v>
      </c>
      <c r="O92" s="4">
        <v>0</v>
      </c>
      <c r="P92" s="3">
        <f t="shared" si="6"/>
        <v>0</v>
      </c>
      <c r="Q92" s="5">
        <v>12</v>
      </c>
      <c r="R92" s="6" t="e">
        <f t="shared" si="7"/>
        <v>#DIV/0!</v>
      </c>
    </row>
    <row r="93" spans="1:18" x14ac:dyDescent="0.25">
      <c r="A93" s="1" t="s">
        <v>528</v>
      </c>
      <c r="B93" s="1" t="s">
        <v>14</v>
      </c>
      <c r="C93" s="1" t="s">
        <v>14</v>
      </c>
      <c r="D93" s="1" t="s">
        <v>14</v>
      </c>
      <c r="E93" s="1" t="s">
        <v>14</v>
      </c>
      <c r="F93" s="2" t="s">
        <v>14</v>
      </c>
      <c r="G93" s="1" t="s">
        <v>14</v>
      </c>
      <c r="H93" s="1" t="s">
        <v>14</v>
      </c>
      <c r="I93" s="1" t="s">
        <v>14</v>
      </c>
      <c r="J93" s="1" t="s">
        <v>14</v>
      </c>
      <c r="K93" s="4">
        <v>0</v>
      </c>
      <c r="L93" s="3">
        <f t="shared" si="4"/>
        <v>0</v>
      </c>
      <c r="M93" s="5">
        <v>0</v>
      </c>
      <c r="N93" s="6" t="e">
        <f t="shared" si="5"/>
        <v>#DIV/0!</v>
      </c>
      <c r="O93" s="4">
        <v>0</v>
      </c>
      <c r="P93" s="3">
        <f t="shared" si="6"/>
        <v>0</v>
      </c>
      <c r="Q93" s="5">
        <v>19</v>
      </c>
      <c r="R93" s="6" t="e">
        <f t="shared" si="7"/>
        <v>#DIV/0!</v>
      </c>
    </row>
    <row r="94" spans="1:18" x14ac:dyDescent="0.25">
      <c r="A94" s="1" t="s">
        <v>529</v>
      </c>
      <c r="B94" s="1" t="s">
        <v>14</v>
      </c>
      <c r="C94" s="1" t="s">
        <v>14</v>
      </c>
      <c r="D94" s="1" t="s">
        <v>14</v>
      </c>
      <c r="E94" s="1" t="s">
        <v>14</v>
      </c>
      <c r="F94" s="2" t="s">
        <v>14</v>
      </c>
      <c r="G94" s="1" t="s">
        <v>14</v>
      </c>
      <c r="H94" s="1" t="s">
        <v>14</v>
      </c>
      <c r="I94" s="1" t="s">
        <v>14</v>
      </c>
      <c r="J94" s="1" t="s">
        <v>14</v>
      </c>
      <c r="K94" s="4">
        <v>0</v>
      </c>
      <c r="L94" s="3">
        <f t="shared" si="4"/>
        <v>0</v>
      </c>
      <c r="M94" s="5">
        <v>0</v>
      </c>
      <c r="N94" s="6" t="e">
        <f t="shared" si="5"/>
        <v>#DIV/0!</v>
      </c>
      <c r="O94" s="4">
        <v>0</v>
      </c>
      <c r="P94" s="3">
        <f t="shared" si="6"/>
        <v>0</v>
      </c>
      <c r="Q94" s="5">
        <v>0</v>
      </c>
      <c r="R94" s="6" t="e">
        <f t="shared" si="7"/>
        <v>#DIV/0!</v>
      </c>
    </row>
    <row r="95" spans="1:18" x14ac:dyDescent="0.25">
      <c r="A95" s="1" t="s">
        <v>530</v>
      </c>
      <c r="B95" s="1" t="s">
        <v>14</v>
      </c>
      <c r="C95" s="1" t="s">
        <v>14</v>
      </c>
      <c r="D95" s="1" t="s">
        <v>14</v>
      </c>
      <c r="E95" s="1" t="s">
        <v>14</v>
      </c>
      <c r="F95" s="2" t="s">
        <v>14</v>
      </c>
      <c r="G95" s="1" t="s">
        <v>14</v>
      </c>
      <c r="H95" s="1" t="s">
        <v>14</v>
      </c>
      <c r="I95" s="1" t="s">
        <v>14</v>
      </c>
      <c r="J95" s="1" t="s">
        <v>14</v>
      </c>
      <c r="K95" s="4">
        <v>0</v>
      </c>
      <c r="L95" s="3">
        <f t="shared" si="4"/>
        <v>0</v>
      </c>
      <c r="M95" s="5">
        <v>0</v>
      </c>
      <c r="N95" s="6" t="e">
        <f t="shared" si="5"/>
        <v>#DIV/0!</v>
      </c>
      <c r="O95" s="4">
        <v>0</v>
      </c>
      <c r="P95" s="3">
        <f t="shared" si="6"/>
        <v>0</v>
      </c>
      <c r="Q95" s="5">
        <v>45</v>
      </c>
      <c r="R95" s="6" t="e">
        <f t="shared" si="7"/>
        <v>#DIV/0!</v>
      </c>
    </row>
    <row r="96" spans="1:18" x14ac:dyDescent="0.25">
      <c r="A96" s="1" t="s">
        <v>531</v>
      </c>
      <c r="B96" s="1" t="s">
        <v>14</v>
      </c>
      <c r="C96" s="1" t="s">
        <v>14</v>
      </c>
      <c r="D96" s="1" t="s">
        <v>14</v>
      </c>
      <c r="E96" s="1" t="s">
        <v>14</v>
      </c>
      <c r="F96" s="2" t="s">
        <v>14</v>
      </c>
      <c r="G96" s="1" t="s">
        <v>14</v>
      </c>
      <c r="H96" s="1" t="s">
        <v>14</v>
      </c>
      <c r="I96" s="1" t="s">
        <v>14</v>
      </c>
      <c r="J96" s="1" t="s">
        <v>14</v>
      </c>
      <c r="K96" s="4">
        <v>0</v>
      </c>
      <c r="L96" s="3">
        <f t="shared" si="4"/>
        <v>0</v>
      </c>
      <c r="M96" s="5">
        <v>0</v>
      </c>
      <c r="N96" s="6" t="e">
        <f t="shared" si="5"/>
        <v>#DIV/0!</v>
      </c>
      <c r="O96" s="4">
        <v>0</v>
      </c>
      <c r="P96" s="3">
        <f t="shared" si="6"/>
        <v>0</v>
      </c>
      <c r="Q96" s="5">
        <v>0</v>
      </c>
      <c r="R96" s="6" t="e">
        <f t="shared" si="7"/>
        <v>#DIV/0!</v>
      </c>
    </row>
    <row r="97" spans="1:18" x14ac:dyDescent="0.25">
      <c r="A97" s="1" t="s">
        <v>532</v>
      </c>
      <c r="B97" s="1" t="s">
        <v>14</v>
      </c>
      <c r="C97" s="1" t="s">
        <v>14</v>
      </c>
      <c r="D97" s="1" t="s">
        <v>14</v>
      </c>
      <c r="E97" s="1" t="s">
        <v>14</v>
      </c>
      <c r="F97" s="2" t="s">
        <v>14</v>
      </c>
      <c r="G97" s="1" t="s">
        <v>14</v>
      </c>
      <c r="H97" s="1" t="s">
        <v>14</v>
      </c>
      <c r="I97" s="1" t="s">
        <v>14</v>
      </c>
      <c r="J97" s="1" t="s">
        <v>14</v>
      </c>
      <c r="K97" s="4">
        <v>0</v>
      </c>
      <c r="L97" s="3">
        <f t="shared" si="4"/>
        <v>0</v>
      </c>
      <c r="M97" s="5">
        <v>0</v>
      </c>
      <c r="N97" s="6" t="e">
        <f t="shared" si="5"/>
        <v>#DIV/0!</v>
      </c>
      <c r="O97" s="4">
        <v>0</v>
      </c>
      <c r="P97" s="3">
        <f t="shared" si="6"/>
        <v>0</v>
      </c>
      <c r="Q97" s="5">
        <v>46</v>
      </c>
      <c r="R97" s="6" t="e">
        <f t="shared" si="7"/>
        <v>#DIV/0!</v>
      </c>
    </row>
    <row r="98" spans="1:18" x14ac:dyDescent="0.25">
      <c r="A98" s="1" t="s">
        <v>533</v>
      </c>
      <c r="B98" s="1" t="s">
        <v>14</v>
      </c>
      <c r="C98" s="1" t="s">
        <v>14</v>
      </c>
      <c r="D98" s="1" t="s">
        <v>14</v>
      </c>
      <c r="E98" s="1" t="s">
        <v>14</v>
      </c>
      <c r="F98" s="2" t="s">
        <v>14</v>
      </c>
      <c r="G98" s="1" t="s">
        <v>14</v>
      </c>
      <c r="H98" s="1" t="s">
        <v>14</v>
      </c>
      <c r="I98" s="1" t="s">
        <v>14</v>
      </c>
      <c r="J98" s="1" t="s">
        <v>14</v>
      </c>
      <c r="K98" s="4">
        <v>0</v>
      </c>
      <c r="L98" s="3">
        <f t="shared" si="4"/>
        <v>0</v>
      </c>
      <c r="M98" s="5">
        <v>0</v>
      </c>
      <c r="N98" s="6" t="e">
        <f t="shared" si="5"/>
        <v>#DIV/0!</v>
      </c>
      <c r="O98" s="4">
        <v>0</v>
      </c>
      <c r="P98" s="3">
        <f t="shared" si="6"/>
        <v>0</v>
      </c>
      <c r="Q98" s="5">
        <v>0</v>
      </c>
      <c r="R98" s="6" t="e">
        <f t="shared" si="7"/>
        <v>#DIV/0!</v>
      </c>
    </row>
    <row r="99" spans="1:18" x14ac:dyDescent="0.25">
      <c r="A99" s="1" t="s">
        <v>534</v>
      </c>
      <c r="B99" s="1" t="s">
        <v>14</v>
      </c>
      <c r="C99" s="1" t="s">
        <v>14</v>
      </c>
      <c r="D99" s="1" t="s">
        <v>14</v>
      </c>
      <c r="E99" s="1" t="s">
        <v>14</v>
      </c>
      <c r="F99" s="2" t="s">
        <v>14</v>
      </c>
      <c r="G99" s="1" t="s">
        <v>14</v>
      </c>
      <c r="H99" s="1" t="s">
        <v>14</v>
      </c>
      <c r="I99" s="1" t="s">
        <v>14</v>
      </c>
      <c r="J99" s="1" t="s">
        <v>14</v>
      </c>
      <c r="K99" s="4">
        <v>0</v>
      </c>
      <c r="L99" s="3">
        <f t="shared" si="4"/>
        <v>0</v>
      </c>
      <c r="M99" s="5">
        <v>0</v>
      </c>
      <c r="N99" s="6" t="e">
        <f t="shared" si="5"/>
        <v>#DIV/0!</v>
      </c>
      <c r="O99" s="4">
        <v>0</v>
      </c>
      <c r="P99" s="3">
        <f t="shared" si="6"/>
        <v>0</v>
      </c>
      <c r="Q99" s="5">
        <v>24</v>
      </c>
      <c r="R99" s="6" t="e">
        <f t="shared" si="7"/>
        <v>#DIV/0!</v>
      </c>
    </row>
    <row r="100" spans="1:18" x14ac:dyDescent="0.25">
      <c r="A100" s="1" t="s">
        <v>535</v>
      </c>
      <c r="B100" s="1" t="s">
        <v>14</v>
      </c>
      <c r="C100" s="1" t="s">
        <v>14</v>
      </c>
      <c r="D100" s="1" t="s">
        <v>14</v>
      </c>
      <c r="E100" s="1" t="s">
        <v>14</v>
      </c>
      <c r="F100" s="2" t="s">
        <v>14</v>
      </c>
      <c r="G100" s="1" t="s">
        <v>14</v>
      </c>
      <c r="H100" s="1" t="s">
        <v>14</v>
      </c>
      <c r="I100" s="1" t="s">
        <v>14</v>
      </c>
      <c r="J100" s="1" t="s">
        <v>14</v>
      </c>
      <c r="K100" s="4">
        <v>0</v>
      </c>
      <c r="L100" s="3">
        <f t="shared" si="4"/>
        <v>0</v>
      </c>
      <c r="M100" s="5">
        <v>0</v>
      </c>
      <c r="N100" s="6" t="e">
        <f t="shared" si="5"/>
        <v>#DIV/0!</v>
      </c>
      <c r="O100" s="4">
        <v>0</v>
      </c>
      <c r="P100" s="3">
        <f t="shared" si="6"/>
        <v>0</v>
      </c>
      <c r="Q100" s="5">
        <v>0</v>
      </c>
      <c r="R100" s="6" t="e">
        <f t="shared" si="7"/>
        <v>#DIV/0!</v>
      </c>
    </row>
    <row r="101" spans="1:18" x14ac:dyDescent="0.25">
      <c r="A101" s="1" t="s">
        <v>536</v>
      </c>
      <c r="B101" s="1" t="s">
        <v>14</v>
      </c>
      <c r="C101" s="1" t="s">
        <v>14</v>
      </c>
      <c r="D101" s="1" t="s">
        <v>14</v>
      </c>
      <c r="E101" s="1" t="s">
        <v>14</v>
      </c>
      <c r="F101" s="2" t="s">
        <v>14</v>
      </c>
      <c r="G101" s="1" t="s">
        <v>14</v>
      </c>
      <c r="H101" s="1" t="s">
        <v>14</v>
      </c>
      <c r="I101" s="1" t="s">
        <v>14</v>
      </c>
      <c r="J101" s="1" t="s">
        <v>14</v>
      </c>
      <c r="K101" s="4">
        <v>0</v>
      </c>
      <c r="L101" s="3">
        <f t="shared" si="4"/>
        <v>0</v>
      </c>
      <c r="M101" s="5">
        <v>0</v>
      </c>
      <c r="N101" s="6" t="e">
        <f t="shared" si="5"/>
        <v>#DIV/0!</v>
      </c>
      <c r="O101" s="4">
        <v>0</v>
      </c>
      <c r="P101" s="3">
        <f t="shared" si="6"/>
        <v>0</v>
      </c>
      <c r="Q101" s="5">
        <v>41</v>
      </c>
      <c r="R101" s="6" t="e">
        <f t="shared" si="7"/>
        <v>#DIV/0!</v>
      </c>
    </row>
    <row r="102" spans="1:18" x14ac:dyDescent="0.25">
      <c r="A102" s="1" t="s">
        <v>537</v>
      </c>
      <c r="B102" s="1" t="s">
        <v>14</v>
      </c>
      <c r="C102" s="1" t="s">
        <v>14</v>
      </c>
      <c r="D102" s="1" t="s">
        <v>14</v>
      </c>
      <c r="E102" s="1" t="s">
        <v>14</v>
      </c>
      <c r="F102" s="2" t="s">
        <v>14</v>
      </c>
      <c r="G102" s="1" t="s">
        <v>14</v>
      </c>
      <c r="H102" s="1" t="s">
        <v>14</v>
      </c>
      <c r="I102" s="1" t="s">
        <v>14</v>
      </c>
      <c r="J102" s="1" t="s">
        <v>14</v>
      </c>
      <c r="K102" s="4">
        <v>0</v>
      </c>
      <c r="L102" s="3">
        <f t="shared" si="4"/>
        <v>0</v>
      </c>
      <c r="M102" s="5">
        <v>0</v>
      </c>
      <c r="N102" s="6" t="e">
        <f t="shared" si="5"/>
        <v>#DIV/0!</v>
      </c>
      <c r="O102" s="4">
        <v>0</v>
      </c>
      <c r="P102" s="3">
        <f t="shared" si="6"/>
        <v>0</v>
      </c>
      <c r="Q102" s="5">
        <v>35</v>
      </c>
      <c r="R102" s="6" t="e">
        <f t="shared" si="7"/>
        <v>#DIV/0!</v>
      </c>
    </row>
    <row r="103" spans="1:18" x14ac:dyDescent="0.25">
      <c r="A103" s="1" t="s">
        <v>90</v>
      </c>
      <c r="B103" s="1" t="s">
        <v>14</v>
      </c>
      <c r="C103" s="1" t="s">
        <v>14</v>
      </c>
      <c r="D103" s="1" t="s">
        <v>14</v>
      </c>
      <c r="E103" s="1" t="s">
        <v>14</v>
      </c>
      <c r="F103" s="2" t="s">
        <v>14</v>
      </c>
      <c r="G103" s="1" t="s">
        <v>14</v>
      </c>
      <c r="H103" s="1" t="s">
        <v>14</v>
      </c>
      <c r="I103" s="1" t="s">
        <v>14</v>
      </c>
      <c r="J103" s="1" t="s">
        <v>14</v>
      </c>
      <c r="K103" s="4">
        <v>54</v>
      </c>
      <c r="L103" s="3">
        <f t="shared" si="4"/>
        <v>54</v>
      </c>
      <c r="M103" s="5">
        <v>1</v>
      </c>
      <c r="N103" s="6">
        <f t="shared" si="5"/>
        <v>1.8518518518518517E-2</v>
      </c>
      <c r="O103" s="4">
        <v>0</v>
      </c>
      <c r="P103" s="3">
        <f t="shared" si="6"/>
        <v>53</v>
      </c>
      <c r="Q103" s="5">
        <v>28</v>
      </c>
      <c r="R103" s="6">
        <f t="shared" si="7"/>
        <v>0.52830188679245282</v>
      </c>
    </row>
    <row r="104" spans="1:18" x14ac:dyDescent="0.25">
      <c r="A104" s="1" t="s">
        <v>91</v>
      </c>
      <c r="B104" s="1" t="s">
        <v>14</v>
      </c>
      <c r="C104" s="1" t="s">
        <v>14</v>
      </c>
      <c r="D104" s="1" t="s">
        <v>14</v>
      </c>
      <c r="E104" s="1" t="s">
        <v>14</v>
      </c>
      <c r="F104" s="2" t="s">
        <v>14</v>
      </c>
      <c r="G104" s="1" t="s">
        <v>14</v>
      </c>
      <c r="H104" s="1" t="s">
        <v>14</v>
      </c>
      <c r="I104" s="1" t="s">
        <v>14</v>
      </c>
      <c r="J104" s="1" t="s">
        <v>14</v>
      </c>
      <c r="K104" s="4">
        <v>107</v>
      </c>
      <c r="L104" s="3">
        <f t="shared" si="4"/>
        <v>107</v>
      </c>
      <c r="M104" s="5">
        <v>2</v>
      </c>
      <c r="N104" s="6">
        <f t="shared" si="5"/>
        <v>1.8691588785046728E-2</v>
      </c>
      <c r="O104" s="4">
        <v>0</v>
      </c>
      <c r="P104" s="3">
        <f t="shared" si="6"/>
        <v>105</v>
      </c>
      <c r="Q104" s="5">
        <v>54</v>
      </c>
      <c r="R104" s="6">
        <f t="shared" si="7"/>
        <v>0.51428571428571423</v>
      </c>
    </row>
    <row r="105" spans="1:18" x14ac:dyDescent="0.25">
      <c r="A105" s="1" t="s">
        <v>538</v>
      </c>
      <c r="B105" s="1" t="s">
        <v>14</v>
      </c>
      <c r="C105" s="1" t="s">
        <v>14</v>
      </c>
      <c r="D105" s="1" t="s">
        <v>14</v>
      </c>
      <c r="E105" s="1" t="s">
        <v>14</v>
      </c>
      <c r="F105" s="2" t="s">
        <v>14</v>
      </c>
      <c r="G105" s="1" t="s">
        <v>14</v>
      </c>
      <c r="H105" s="1" t="s">
        <v>14</v>
      </c>
      <c r="I105" s="1" t="s">
        <v>14</v>
      </c>
      <c r="J105" s="1" t="s">
        <v>14</v>
      </c>
      <c r="K105" s="4">
        <v>0</v>
      </c>
      <c r="L105" s="3">
        <f t="shared" si="4"/>
        <v>0</v>
      </c>
      <c r="M105" s="5">
        <v>0</v>
      </c>
      <c r="N105" s="6" t="e">
        <f t="shared" si="5"/>
        <v>#DIV/0!</v>
      </c>
      <c r="O105" s="4">
        <v>0</v>
      </c>
      <c r="P105" s="3">
        <f t="shared" si="6"/>
        <v>0</v>
      </c>
      <c r="Q105" s="5">
        <v>0</v>
      </c>
      <c r="R105" s="6" t="e">
        <f t="shared" si="7"/>
        <v>#DIV/0!</v>
      </c>
    </row>
    <row r="106" spans="1:18" ht="15.75" thickBot="1" x14ac:dyDescent="0.3">
      <c r="A106" s="1" t="s">
        <v>539</v>
      </c>
      <c r="B106" s="1" t="s">
        <v>14</v>
      </c>
      <c r="C106" s="1" t="s">
        <v>14</v>
      </c>
      <c r="D106" s="1" t="s">
        <v>14</v>
      </c>
      <c r="E106" s="1" t="s">
        <v>14</v>
      </c>
      <c r="F106" s="2" t="s">
        <v>14</v>
      </c>
      <c r="G106" s="1" t="s">
        <v>14</v>
      </c>
      <c r="H106" s="1" t="s">
        <v>14</v>
      </c>
      <c r="I106" s="1" t="s">
        <v>14</v>
      </c>
      <c r="J106" s="1" t="s">
        <v>14</v>
      </c>
      <c r="K106" s="20">
        <v>0</v>
      </c>
      <c r="L106" s="3">
        <f t="shared" si="4"/>
        <v>0</v>
      </c>
      <c r="M106" s="21">
        <v>0</v>
      </c>
      <c r="N106" s="6" t="e">
        <f t="shared" si="5"/>
        <v>#DIV/0!</v>
      </c>
      <c r="O106" s="20">
        <v>0</v>
      </c>
      <c r="P106" s="3">
        <f t="shared" si="6"/>
        <v>0</v>
      </c>
      <c r="Q106" s="21">
        <v>23</v>
      </c>
      <c r="R106" s="6" t="e">
        <f t="shared" si="7"/>
        <v>#DIV/0!</v>
      </c>
    </row>
  </sheetData>
  <sheetProtection algorithmName="SHA-512" hashValue="lziEz5EuyBHwOZ3W8yFgI3QhFDd7OB3TQGygm3//Vh2Vj6X1ZgZasEHad1Xkb+LbtnaYQtsZjvB4KJUdwvL0JA==" saltValue="x7nVFsPsV63+drusvhZ02g==" spinCount="100000" sheet="1" objects="1" scenarios="1"/>
  <mergeCells count="3">
    <mergeCell ref="A1:J1"/>
    <mergeCell ref="K1:N1"/>
    <mergeCell ref="O1:R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J2"/>
  <sheetViews>
    <sheetView workbookViewId="0">
      <pane xSplit="8" ySplit="1" topLeftCell="I2" activePane="bottomRight" state="frozen"/>
      <selection pane="topRight" activeCell="I1" sqref="I1"/>
      <selection pane="bottomLeft" activeCell="A3" sqref="A3"/>
      <selection pane="bottomRight" activeCell="A2" sqref="A2"/>
    </sheetView>
  </sheetViews>
  <sheetFormatPr baseColWidth="10" defaultColWidth="11.5703125" defaultRowHeight="15" x14ac:dyDescent="0.25"/>
  <cols>
    <col min="1" max="1" width="24.28515625" style="1" bestFit="1" customWidth="1"/>
    <col min="2" max="3" width="11.5703125" style="1"/>
    <col min="4" max="8" width="11.5703125" style="1" hidden="1" customWidth="1"/>
    <col min="9" max="16384" width="11.5703125" style="1"/>
  </cols>
  <sheetData>
    <row r="1" spans="1:10" x14ac:dyDescent="0.25">
      <c r="A1" s="10" t="s">
        <v>13</v>
      </c>
      <c r="B1" s="11"/>
      <c r="C1" s="11"/>
      <c r="D1" s="11"/>
      <c r="E1" s="11"/>
      <c r="F1" s="11"/>
      <c r="G1" s="11"/>
      <c r="H1" s="11"/>
      <c r="I1" s="11"/>
      <c r="J1" s="12"/>
    </row>
    <row r="2" spans="1:10" ht="15.75" thickBot="1" x14ac:dyDescent="0.3">
      <c r="A2" s="7"/>
      <c r="B2" s="8" t="s">
        <v>7</v>
      </c>
      <c r="C2" s="8" t="s">
        <v>8</v>
      </c>
      <c r="D2" s="8" t="s">
        <v>1</v>
      </c>
      <c r="E2" s="8" t="s">
        <v>2</v>
      </c>
      <c r="F2" s="8" t="s">
        <v>0</v>
      </c>
      <c r="G2" s="8" t="s">
        <v>9</v>
      </c>
      <c r="H2" s="8" t="s">
        <v>5</v>
      </c>
      <c r="I2" s="8" t="s">
        <v>10</v>
      </c>
      <c r="J2" s="9" t="s">
        <v>11</v>
      </c>
    </row>
  </sheetData>
  <sheetProtection algorithmName="SHA-512" hashValue="k0oB154KpEOMqjqVSBC9opbb2FtttvmZ0MNTl8ogwS4juUQirfsKtLJtMsAMEPyXmOjmKhH2tNprZorNkseFFQ==" saltValue="EwMwPAj+4j338k9vMqSBwA==" spinCount="100000"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AddFile" Type="http://schemas.openxmlformats.org/officeDocument/2006/relationships/image" Target="images/AddFile.png"/><Relationship Id="AddItem" Type="http://schemas.openxmlformats.org/officeDocument/2006/relationships/image" Target="images/AddItem.png"/><Relationship Id="AddColumn" Type="http://schemas.openxmlformats.org/officeDocument/2006/relationships/image" Target="images/AddColumn.png"/><Relationship Id="Colores" Type="http://schemas.openxmlformats.org/officeDocument/2006/relationships/image" Target="images/Colores.png"/><Relationship Id="Refresh" Type="http://schemas.openxmlformats.org/officeDocument/2006/relationships/image" Target="images/Refresh.png"/><Relationship Id="Erase" Type="http://schemas.openxmlformats.org/officeDocument/2006/relationships/image" Target="images/Erase.png"/><Relationship Id="ListSort" Type="http://schemas.openxmlformats.org/officeDocument/2006/relationships/image" Target="images/ListSort.png"/></Relationships>
</file>

<file path=customUI/customUI14.xml><?xml version="1.0" encoding="utf-8"?>
<customUI xmlns="http://schemas.microsoft.com/office/2006/01/customui">
  <ribbon startFromScratch="false">
    <tabs>
      <tab id="inventario" label="Inventario">
        <group id="items" label="Items">
          <button id="agregarItem" label="Agregar Item" image="AddItem" size="large" onAction="ItemAdd"/>
        </group>
        <group id="reporte" label="Reporte">
          <button id="agregarLiquidacion" label="Agregar Liquidacion" image="AddFile" size="large" onAction="LiquidacionAdd"/>
          <button id="odenar" label="Ordenar Especificos" image="ListSort" size="large" onAction="SortInventario"/>
          <button id="refrescar" label="Refrescar" image="Refresh" size="large" onAction="RefreshFromD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REFERENCIAS</vt:lpstr>
      <vt:lpstr>CODIGOS</vt:lpstr>
      <vt:lpstr>ReporteGeneral</vt:lpstr>
      <vt:lpstr>ReporteEspecifico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2022-03-14T15:59:49Z</dcterms:modified>
</cp:coreProperties>
</file>